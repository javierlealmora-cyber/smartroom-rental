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\SmartRoom-Rental\Documentos\Web Site\Facturas\"/>
    </mc:Choice>
  </mc:AlternateContent>
  <xr:revisionPtr revIDLastSave="0" documentId="8_{E8816D6B-A84B-47D2-842D-A153AD0B1204}" xr6:coauthVersionLast="47" xr6:coauthVersionMax="47" xr10:uidLastSave="{00000000-0000-0000-0000-000000000000}"/>
  <bookViews>
    <workbookView xWindow="31305" yWindow="165" windowWidth="26640" windowHeight="15510" activeTab="1" xr2:uid="{320F90B8-9A07-4EDF-A24C-F80E89729164}"/>
  </bookViews>
  <sheets>
    <sheet name="Calculo Lector Estimado Días" sheetId="1" r:id="rId1"/>
    <sheet name="Calculo Sin Lector Estimado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3" i="1" l="1"/>
  <c r="D47" i="1"/>
  <c r="E47" i="1"/>
  <c r="N47" i="1"/>
  <c r="O47" i="1"/>
  <c r="P47" i="1"/>
  <c r="Q47" i="1"/>
  <c r="C47" i="1"/>
  <c r="D45" i="1"/>
  <c r="P45" i="1"/>
  <c r="Q45" i="1"/>
  <c r="C45" i="1"/>
  <c r="Q20" i="3"/>
  <c r="P20" i="3"/>
  <c r="O20" i="3"/>
  <c r="N20" i="3"/>
  <c r="M20" i="3"/>
  <c r="L20" i="3"/>
  <c r="K20" i="3"/>
  <c r="G21" i="3"/>
  <c r="H21" i="3"/>
  <c r="I21" i="3"/>
  <c r="J21" i="3"/>
  <c r="K21" i="3"/>
  <c r="L21" i="3"/>
  <c r="M21" i="3"/>
  <c r="N21" i="3"/>
  <c r="O21" i="3"/>
  <c r="P21" i="3"/>
  <c r="Q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C22" i="3"/>
  <c r="H13" i="3"/>
  <c r="G13" i="3"/>
  <c r="S38" i="1"/>
  <c r="S39" i="1"/>
  <c r="S40" i="1"/>
  <c r="H13" i="1"/>
  <c r="G13" i="1"/>
  <c r="S21" i="1"/>
  <c r="D28" i="1" s="1"/>
  <c r="S22" i="1"/>
  <c r="D29" i="1" s="1"/>
  <c r="S20" i="1"/>
  <c r="D27" i="1" s="1"/>
  <c r="C46" i="1" l="1"/>
  <c r="L46" i="1"/>
  <c r="Q46" i="1"/>
  <c r="P46" i="1"/>
  <c r="O46" i="1"/>
  <c r="N46" i="1"/>
  <c r="M46" i="1"/>
  <c r="K46" i="1"/>
  <c r="O45" i="1"/>
  <c r="E45" i="1"/>
  <c r="N45" i="1"/>
  <c r="M45" i="1"/>
  <c r="M47" i="1"/>
  <c r="L45" i="1"/>
  <c r="L47" i="1"/>
  <c r="J46" i="1"/>
  <c r="K45" i="1"/>
  <c r="K47" i="1"/>
  <c r="I46" i="1"/>
  <c r="J45" i="1"/>
  <c r="J47" i="1"/>
  <c r="H46" i="1"/>
  <c r="I45" i="1"/>
  <c r="I47" i="1"/>
  <c r="G46" i="1"/>
  <c r="H45" i="1"/>
  <c r="H47" i="1"/>
  <c r="F46" i="1"/>
  <c r="G45" i="1"/>
  <c r="G47" i="1"/>
  <c r="E46" i="1"/>
  <c r="F45" i="1"/>
  <c r="F47" i="1"/>
  <c r="D46" i="1"/>
  <c r="S20" i="3"/>
  <c r="S22" i="3"/>
  <c r="P40" i="3" s="1"/>
  <c r="J13" i="3"/>
  <c r="J13" i="1"/>
  <c r="D30" i="1"/>
  <c r="D40" i="3" l="1"/>
  <c r="E40" i="3"/>
  <c r="F40" i="3"/>
  <c r="G40" i="3"/>
  <c r="I40" i="3"/>
  <c r="K40" i="3"/>
  <c r="M40" i="3"/>
  <c r="D30" i="3"/>
  <c r="H40" i="3"/>
  <c r="J40" i="3"/>
  <c r="C40" i="3"/>
  <c r="L40" i="3"/>
  <c r="N40" i="3"/>
  <c r="O40" i="3"/>
  <c r="Q40" i="3"/>
  <c r="Q38" i="3"/>
  <c r="P38" i="3"/>
  <c r="O38" i="3"/>
  <c r="D28" i="3"/>
  <c r="C39" i="3"/>
  <c r="F38" i="3"/>
  <c r="E39" i="3"/>
  <c r="H38" i="3"/>
  <c r="F39" i="3"/>
  <c r="I38" i="3"/>
  <c r="J38" i="3"/>
  <c r="K38" i="3"/>
  <c r="L38" i="3"/>
  <c r="M38" i="3"/>
  <c r="N38" i="3"/>
  <c r="C38" i="3"/>
  <c r="D39" i="3"/>
  <c r="G38" i="3"/>
  <c r="D38" i="3"/>
  <c r="E38" i="3"/>
  <c r="S45" i="1"/>
  <c r="S46" i="1"/>
  <c r="S47" i="1"/>
  <c r="E29" i="1"/>
  <c r="E28" i="1"/>
  <c r="E27" i="1"/>
  <c r="S38" i="3" l="1"/>
  <c r="S40" i="3"/>
  <c r="F27" i="1"/>
  <c r="C51" i="1" s="1"/>
  <c r="H27" i="1"/>
  <c r="G27" i="1"/>
  <c r="F28" i="1"/>
  <c r="G28" i="1"/>
  <c r="H28" i="1"/>
  <c r="F29" i="1"/>
  <c r="G29" i="1"/>
  <c r="H29" i="1"/>
  <c r="E30" i="1"/>
  <c r="D73" i="1" l="1"/>
  <c r="F66" i="1"/>
  <c r="N66" i="1"/>
  <c r="P66" i="1"/>
  <c r="C66" i="1"/>
  <c r="G66" i="1"/>
  <c r="I66" i="1"/>
  <c r="D66" i="1"/>
  <c r="L66" i="1"/>
  <c r="H66" i="1"/>
  <c r="O66" i="1"/>
  <c r="Q66" i="1"/>
  <c r="J66" i="1"/>
  <c r="E66" i="1"/>
  <c r="M66" i="1"/>
  <c r="K66" i="1"/>
  <c r="D72" i="1"/>
  <c r="H65" i="1"/>
  <c r="Q65" i="1"/>
  <c r="M65" i="1"/>
  <c r="P65" i="1"/>
  <c r="F65" i="1"/>
  <c r="I65" i="1"/>
  <c r="K65" i="1"/>
  <c r="C65" i="1"/>
  <c r="O65" i="1"/>
  <c r="N65" i="1"/>
  <c r="D65" i="1"/>
  <c r="E65" i="1"/>
  <c r="G65" i="1"/>
  <c r="J65" i="1"/>
  <c r="L65" i="1"/>
  <c r="D74" i="1"/>
  <c r="H67" i="1"/>
  <c r="Q67" i="1"/>
  <c r="P67" i="1"/>
  <c r="E67" i="1"/>
  <c r="D67" i="1"/>
  <c r="G67" i="1"/>
  <c r="C67" i="1"/>
  <c r="M67" i="1"/>
  <c r="J67" i="1"/>
  <c r="K67" i="1"/>
  <c r="I67" i="1"/>
  <c r="F67" i="1"/>
  <c r="N67" i="1"/>
  <c r="L67" i="1"/>
  <c r="O67" i="1"/>
  <c r="H51" i="1"/>
  <c r="E51" i="1"/>
  <c r="Q51" i="1"/>
  <c r="O51" i="1"/>
  <c r="I51" i="1"/>
  <c r="P51" i="1"/>
  <c r="K51" i="1"/>
  <c r="M51" i="1"/>
  <c r="J51" i="1"/>
  <c r="F51" i="1"/>
  <c r="G51" i="1"/>
  <c r="N51" i="1"/>
  <c r="L51" i="1"/>
  <c r="D51" i="1"/>
  <c r="H53" i="1"/>
  <c r="Q53" i="1"/>
  <c r="O53" i="1"/>
  <c r="P53" i="1"/>
  <c r="G53" i="1"/>
  <c r="K53" i="1"/>
  <c r="M53" i="1"/>
  <c r="C53" i="1"/>
  <c r="D53" i="1"/>
  <c r="F53" i="1"/>
  <c r="L53" i="1"/>
  <c r="I53" i="1"/>
  <c r="N53" i="1"/>
  <c r="J53" i="1"/>
  <c r="E53" i="1"/>
  <c r="H60" i="1"/>
  <c r="Q60" i="1"/>
  <c r="O60" i="1"/>
  <c r="P60" i="1"/>
  <c r="G60" i="1"/>
  <c r="M60" i="1"/>
  <c r="K60" i="1"/>
  <c r="F60" i="1"/>
  <c r="E60" i="1"/>
  <c r="N60" i="1"/>
  <c r="L60" i="1"/>
  <c r="I60" i="1"/>
  <c r="J60" i="1"/>
  <c r="D60" i="1"/>
  <c r="C60" i="1"/>
  <c r="F59" i="1"/>
  <c r="K59" i="1"/>
  <c r="O59" i="1"/>
  <c r="E59" i="1"/>
  <c r="L59" i="1"/>
  <c r="H59" i="1"/>
  <c r="N59" i="1"/>
  <c r="J59" i="1"/>
  <c r="C59" i="1"/>
  <c r="P59" i="1"/>
  <c r="Q59" i="1"/>
  <c r="I59" i="1"/>
  <c r="M59" i="1"/>
  <c r="D59" i="1"/>
  <c r="G59" i="1"/>
  <c r="F52" i="1"/>
  <c r="H52" i="1"/>
  <c r="K52" i="1"/>
  <c r="O52" i="1"/>
  <c r="E52" i="1"/>
  <c r="L52" i="1"/>
  <c r="C52" i="1"/>
  <c r="N52" i="1"/>
  <c r="J52" i="1"/>
  <c r="G52" i="1"/>
  <c r="M52" i="1"/>
  <c r="Q52" i="1"/>
  <c r="I52" i="1"/>
  <c r="P52" i="1"/>
  <c r="D52" i="1"/>
  <c r="H58" i="1"/>
  <c r="M58" i="1"/>
  <c r="E58" i="1"/>
  <c r="P58" i="1"/>
  <c r="C58" i="1"/>
  <c r="Q58" i="1"/>
  <c r="O58" i="1"/>
  <c r="I58" i="1"/>
  <c r="K58" i="1"/>
  <c r="D58" i="1"/>
  <c r="L58" i="1"/>
  <c r="F58" i="1"/>
  <c r="G58" i="1"/>
  <c r="N58" i="1"/>
  <c r="J58" i="1"/>
  <c r="H30" i="1"/>
  <c r="F30" i="1"/>
  <c r="I29" i="1"/>
  <c r="I27" i="1"/>
  <c r="G30" i="1"/>
  <c r="I28" i="1"/>
  <c r="D75" i="1" l="1"/>
  <c r="S67" i="1"/>
  <c r="S66" i="1"/>
  <c r="S65" i="1"/>
  <c r="S60" i="1"/>
  <c r="C74" i="1" s="1"/>
  <c r="S58" i="1"/>
  <c r="C72" i="1" s="1"/>
  <c r="S59" i="1"/>
  <c r="C73" i="1" s="1"/>
  <c r="S51" i="1"/>
  <c r="S53" i="1"/>
  <c r="S52" i="1"/>
  <c r="I30" i="1"/>
  <c r="S68" i="1" l="1"/>
  <c r="C75" i="1"/>
  <c r="E73" i="1"/>
  <c r="G73" i="1"/>
  <c r="E74" i="1"/>
  <c r="G74" i="1"/>
  <c r="E72" i="1"/>
  <c r="G72" i="1"/>
  <c r="S61" i="1"/>
  <c r="S54" i="1"/>
  <c r="E75" i="1" l="1"/>
  <c r="E77" i="1"/>
  <c r="G75" i="1"/>
  <c r="S21" i="3" l="1"/>
  <c r="D29" i="3" l="1"/>
  <c r="D31" i="3" s="1"/>
  <c r="E30" i="3" s="1"/>
  <c r="G30" i="3" s="1"/>
  <c r="G39" i="3"/>
  <c r="O39" i="3"/>
  <c r="K39" i="3"/>
  <c r="I39" i="3"/>
  <c r="H39" i="3"/>
  <c r="N39" i="3"/>
  <c r="M39" i="3"/>
  <c r="L39" i="3"/>
  <c r="J39" i="3"/>
  <c r="P39" i="3"/>
  <c r="Q39" i="3"/>
  <c r="S23" i="3"/>
  <c r="S39" i="3" l="1"/>
  <c r="E28" i="3"/>
  <c r="G28" i="3" s="1"/>
  <c r="F30" i="3"/>
  <c r="F46" i="3" s="1"/>
  <c r="H30" i="3"/>
  <c r="I60" i="3" s="1"/>
  <c r="E29" i="3"/>
  <c r="K60" i="3"/>
  <c r="H60" i="3"/>
  <c r="E60" i="3"/>
  <c r="C60" i="3"/>
  <c r="I53" i="3"/>
  <c r="H53" i="3"/>
  <c r="M53" i="3"/>
  <c r="N53" i="3"/>
  <c r="E53" i="3"/>
  <c r="G53" i="3"/>
  <c r="J53" i="3"/>
  <c r="D53" i="3"/>
  <c r="K53" i="3"/>
  <c r="O53" i="3"/>
  <c r="Q53" i="3"/>
  <c r="L53" i="3"/>
  <c r="P53" i="3"/>
  <c r="F53" i="3"/>
  <c r="C53" i="3"/>
  <c r="D67" i="3" l="1"/>
  <c r="P60" i="3"/>
  <c r="G60" i="3"/>
  <c r="O60" i="3"/>
  <c r="M60" i="3"/>
  <c r="H28" i="3"/>
  <c r="O58" i="3" s="1"/>
  <c r="F28" i="3"/>
  <c r="E31" i="3"/>
  <c r="I30" i="3"/>
  <c r="D60" i="3"/>
  <c r="F60" i="3"/>
  <c r="I46" i="3"/>
  <c r="L46" i="3"/>
  <c r="N46" i="3"/>
  <c r="G46" i="3"/>
  <c r="D46" i="3"/>
  <c r="L60" i="3"/>
  <c r="N60" i="3"/>
  <c r="E46" i="3"/>
  <c r="H46" i="3"/>
  <c r="C46" i="3"/>
  <c r="Q46" i="3"/>
  <c r="P46" i="3"/>
  <c r="K46" i="3"/>
  <c r="M46" i="3"/>
  <c r="O46" i="3"/>
  <c r="J46" i="3"/>
  <c r="J60" i="3"/>
  <c r="Q60" i="3"/>
  <c r="H29" i="3"/>
  <c r="G29" i="3"/>
  <c r="G31" i="3" s="1"/>
  <c r="F29" i="3"/>
  <c r="F31" i="3" s="1"/>
  <c r="S53" i="3"/>
  <c r="C67" i="3" s="1"/>
  <c r="E67" i="3" s="1"/>
  <c r="K51" i="3"/>
  <c r="J51" i="3"/>
  <c r="C51" i="3"/>
  <c r="O51" i="3"/>
  <c r="E51" i="3"/>
  <c r="F51" i="3"/>
  <c r="H51" i="3"/>
  <c r="N51" i="3"/>
  <c r="I51" i="3"/>
  <c r="G51" i="3"/>
  <c r="L51" i="3"/>
  <c r="Q51" i="3"/>
  <c r="D51" i="3"/>
  <c r="P51" i="3"/>
  <c r="M51" i="3"/>
  <c r="G44" i="3" l="1"/>
  <c r="C44" i="3"/>
  <c r="D65" i="3"/>
  <c r="H44" i="3"/>
  <c r="F44" i="3"/>
  <c r="M44" i="3"/>
  <c r="E44" i="3"/>
  <c r="Q44" i="3"/>
  <c r="K44" i="3"/>
  <c r="L44" i="3"/>
  <c r="P44" i="3"/>
  <c r="N44" i="3"/>
  <c r="N58" i="3"/>
  <c r="D44" i="3"/>
  <c r="I58" i="3"/>
  <c r="J44" i="3"/>
  <c r="P58" i="3"/>
  <c r="I44" i="3"/>
  <c r="F58" i="3"/>
  <c r="K58" i="3"/>
  <c r="E58" i="3"/>
  <c r="C58" i="3"/>
  <c r="H31" i="3"/>
  <c r="M58" i="3"/>
  <c r="L58" i="3"/>
  <c r="J58" i="3"/>
  <c r="H58" i="3"/>
  <c r="I28" i="3"/>
  <c r="O44" i="3"/>
  <c r="D58" i="3"/>
  <c r="Q58" i="3"/>
  <c r="G58" i="3"/>
  <c r="S60" i="3"/>
  <c r="S46" i="3"/>
  <c r="G67" i="3" s="1"/>
  <c r="L45" i="3"/>
  <c r="K45" i="3"/>
  <c r="F45" i="3"/>
  <c r="E45" i="3"/>
  <c r="N45" i="3"/>
  <c r="I45" i="3"/>
  <c r="G45" i="3"/>
  <c r="C45" i="3"/>
  <c r="H45" i="3"/>
  <c r="D45" i="3"/>
  <c r="P45" i="3"/>
  <c r="Q45" i="3"/>
  <c r="J45" i="3"/>
  <c r="M45" i="3"/>
  <c r="O45" i="3"/>
  <c r="O52" i="3"/>
  <c r="I29" i="3"/>
  <c r="Q52" i="3"/>
  <c r="N52" i="3"/>
  <c r="P52" i="3"/>
  <c r="L52" i="3"/>
  <c r="C52" i="3"/>
  <c r="G52" i="3"/>
  <c r="M52" i="3"/>
  <c r="I52" i="3"/>
  <c r="J52" i="3"/>
  <c r="F52" i="3"/>
  <c r="D52" i="3"/>
  <c r="K52" i="3"/>
  <c r="H52" i="3"/>
  <c r="E52" i="3"/>
  <c r="N59" i="3"/>
  <c r="P59" i="3"/>
  <c r="E59" i="3"/>
  <c r="M59" i="3"/>
  <c r="D59" i="3"/>
  <c r="O59" i="3"/>
  <c r="J59" i="3"/>
  <c r="D66" i="3"/>
  <c r="D68" i="3" s="1"/>
  <c r="I59" i="3"/>
  <c r="H59" i="3"/>
  <c r="K59" i="3"/>
  <c r="Q59" i="3"/>
  <c r="L59" i="3"/>
  <c r="G59" i="3"/>
  <c r="F59" i="3"/>
  <c r="C59" i="3"/>
  <c r="S51" i="3"/>
  <c r="S58" i="3" l="1"/>
  <c r="I31" i="3"/>
  <c r="S44" i="3"/>
  <c r="G65" i="3" s="1"/>
  <c r="S52" i="3"/>
  <c r="C66" i="3" s="1"/>
  <c r="E66" i="3" s="1"/>
  <c r="S45" i="3"/>
  <c r="G66" i="3" s="1"/>
  <c r="S59" i="3"/>
  <c r="C65" i="3"/>
  <c r="S61" i="3" l="1"/>
  <c r="G68" i="3"/>
  <c r="S47" i="3"/>
  <c r="S54" i="3"/>
  <c r="E65" i="3"/>
  <c r="C68" i="3"/>
  <c r="E68" i="3" l="1"/>
  <c r="E70" i="3"/>
</calcChain>
</file>

<file path=xl/sharedStrings.xml><?xml version="1.0" encoding="utf-8"?>
<sst xmlns="http://schemas.openxmlformats.org/spreadsheetml/2006/main" count="328" uniqueCount="66">
  <si>
    <t>Juan</t>
  </si>
  <si>
    <t>Pedro</t>
  </si>
  <si>
    <t>Ana</t>
  </si>
  <si>
    <t xml:space="preserve">Potencia </t>
  </si>
  <si>
    <t xml:space="preserve">Energía </t>
  </si>
  <si>
    <t>Descuentos</t>
  </si>
  <si>
    <t>Otros</t>
  </si>
  <si>
    <t xml:space="preserve">Impuestos </t>
  </si>
  <si>
    <t>TOTAL</t>
  </si>
  <si>
    <t xml:space="preserve">Consumo Total </t>
  </si>
  <si>
    <t>Total consumo kwh</t>
  </si>
  <si>
    <t>Inquilinos</t>
  </si>
  <si>
    <t>Gasto fijo</t>
  </si>
  <si>
    <t>Inquilino</t>
  </si>
  <si>
    <t>Consumo Estimado Total Individual</t>
  </si>
  <si>
    <t>Reparto Proporcional del consumo total kWh</t>
  </si>
  <si>
    <t>Total</t>
  </si>
  <si>
    <t>kWh</t>
  </si>
  <si>
    <t>Gasto Variable</t>
  </si>
  <si>
    <t>=</t>
  </si>
  <si>
    <t>Reparto de la Energia (Gasto Variable)</t>
  </si>
  <si>
    <t>Reparto de Costes (Gasto Fijo)</t>
  </si>
  <si>
    <t>Total Liquidación a Pagar</t>
  </si>
  <si>
    <t>Consumo Estimado</t>
  </si>
  <si>
    <t>% del consumo total</t>
  </si>
  <si>
    <t>% del consumo estimado</t>
  </si>
  <si>
    <t>Resultado a Pagar por cada Inquilino</t>
  </si>
  <si>
    <t>Gasto
Fijo €</t>
  </si>
  <si>
    <t>Tota kWh</t>
  </si>
  <si>
    <t>Tota €</t>
  </si>
  <si>
    <t>Consumo kWh Reales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</si>
  <si>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</si>
  <si>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</si>
  <si>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</si>
  <si>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</si>
  <si>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</si>
  <si>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</si>
  <si>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</si>
  <si>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</si>
  <si>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</si>
  <si>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</si>
  <si>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</si>
  <si>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</si>
  <si>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</si>
  <si>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</si>
  <si>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</si>
  <si>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Total Porcentaje</t>
  </si>
  <si>
    <t>Total Consumo €</t>
  </si>
  <si>
    <t>Total consumo kWh</t>
  </si>
  <si>
    <t>CALCULO: Reparto de la factura entre los inquilinos según su consumo individual</t>
  </si>
  <si>
    <t>CALCULO: del Consumo Real Reparto Factura de Energía</t>
  </si>
  <si>
    <t>Gasto Variable €</t>
  </si>
  <si>
    <t>Consumo € Gasto Fijo aplicando el porcentaje (JSON DE SALIDA)</t>
  </si>
  <si>
    <t>Consumo kWh aplicando el porcentaje (JSON DE SALIDA)</t>
  </si>
  <si>
    <t>Consumo € Gasto Varible aplicando el porcentaje (JSON DE SALIDA)</t>
  </si>
  <si>
    <t>VALORES DE SALIDA (EN JSON)</t>
  </si>
  <si>
    <t>VALORES DE ENTRADA (JSON)</t>
  </si>
  <si>
    <t>Valores de la Factura (JSON DE ENTRADA)</t>
  </si>
  <si>
    <t>Nº Inquilinos día</t>
  </si>
  <si>
    <t>Tabla de Consumo Estimado para Alojamientos sin lector de consumos individuales.</t>
  </si>
  <si>
    <t>Consumo Estimado SIN Lectores de Energía por días (JSON DE ENTRADA).</t>
  </si>
  <si>
    <t>CALCULO: Reparto de la factura entre los inquilinos según su consumo estimado</t>
  </si>
  <si>
    <t>Consumo Estimado CON Lectores de Energía por días (JSON DE ENTRADA)</t>
  </si>
  <si>
    <t>La tabla del consumo estimado se rellena repartiendo el "Consumo Total" por DIAS durante todo el periodo de la factura y entre los inquilinos activos cada día.</t>
  </si>
  <si>
    <t>La tabla del consumo estimado se rellena con los datos del lector de consumo por DIAS para todos los inquilinos activos cada día.</t>
  </si>
  <si>
    <t>DATOS DE ENTRADA AL PROCESO DE CALCULO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</si>
</sst>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"/>
    <numFmt numFmtId="165" formatCode="0.000"/>
    <numFmt numFmtId="166" formatCode="#,##0.0000"/>
    <numFmt numFmtId="167" formatCode="#,##0.0000\ &quot;€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1" xfId="0" applyBorder="1"/>
    <xf numFmtId="0" fontId="1" fillId="0" borderId="1" xfId="0" applyFont="1" applyBorder="1"/>
    <xf numFmtId="0" fontId="0" fillId="0" borderId="0" xfId="0" quotePrefix="1"/>
    <xf numFmtId="164" fontId="0" fillId="0" borderId="1" xfId="0" applyNumberFormat="1" applyBorder="1"/>
    <xf numFmtId="0" fontId="0" fillId="0" borderId="1" xfId="0" applyBorder="1" applyAlignment="1">
      <alignment horizontal="right"/>
    </xf>
    <xf numFmtId="166" fontId="0" fillId="0" borderId="0" xfId="0" applyNumberFormat="1"/>
    <xf numFmtId="167" fontId="0" fillId="0" borderId="1" xfId="0" applyNumberFormat="1" applyBorder="1" applyAlignment="1">
      <alignment horizontal="right"/>
    </xf>
    <xf numFmtId="166" fontId="0" fillId="0" borderId="1" xfId="0" applyNumberFormat="1" applyBorder="1"/>
    <xf numFmtId="0" fontId="2" fillId="0" borderId="0" xfId="0" applyFont="1" applyAlignment="1">
      <alignment horizontal="right"/>
    </xf>
    <xf numFmtId="0" fontId="1" fillId="0" borderId="0" xfId="0" quotePrefix="1" applyFont="1"/>
    <xf numFmtId="0" fontId="0" fillId="0" borderId="0" xfId="0" quotePrefix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167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2" borderId="3" xfId="0" applyFill="1" applyBorder="1"/>
    <xf numFmtId="165" fontId="1" fillId="0" borderId="1" xfId="0" applyNumberFormat="1" applyFont="1" applyBorder="1"/>
    <xf numFmtId="0" fontId="4" fillId="2" borderId="0" xfId="0" applyFont="1" applyFill="1" applyAlignment="1">
      <alignment horizontal="right"/>
    </xf>
    <xf numFmtId="164" fontId="6" fillId="0" borderId="1" xfId="0" applyNumberFormat="1" applyFont="1" applyBorder="1"/>
    <xf numFmtId="167" fontId="5" fillId="0" borderId="2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165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1C50-EF81-405B-AA98-B8427C3BDA3B}">
  <dimension ref="A1:T77"/>
  <sheetViews>
    <sheetView zoomScale="85" zoomScaleNormal="85" workbookViewId="0">
      <selection activeCell="O7" sqref="O7"/>
    </sheetView>
  </sheetViews>
  <sheetFormatPr baseColWidth="10" defaultRowHeight="15" x14ac:dyDescent="0.25"/>
  <cols>
    <col min="1" max="1" width="16" customWidth="1"/>
    <col min="2" max="2" width="14.42578125" customWidth="1"/>
    <col min="3" max="17" width="10" customWidth="1"/>
    <col min="18" max="18" width="3" customWidth="1"/>
    <col min="19" max="19" width="18.42578125" customWidth="1"/>
  </cols>
  <sheetData>
    <row r="1" spans="1:10" ht="18.75" customHeight="1" x14ac:dyDescent="0.25"/>
    <row r="2" spans="1:10" ht="21" x14ac:dyDescent="0.35">
      <c r="B2" s="31" t="s">
        <v>62</v>
      </c>
    </row>
    <row r="3" spans="1:10" ht="21" x14ac:dyDescent="0.35">
      <c r="B3" s="31" t="s">
        <v>64</v>
      </c>
    </row>
    <row r="4" spans="1:10" ht="15.75" x14ac:dyDescent="0.25">
      <c r="B4" s="32"/>
    </row>
    <row r="5" spans="1:10" ht="15.75" x14ac:dyDescent="0.25">
      <c r="A5" s="33" t="s">
        <v>65</v>
      </c>
    </row>
    <row r="6" spans="1:10" ht="18.75" x14ac:dyDescent="0.3">
      <c r="B6" s="25" t="s">
        <v>56</v>
      </c>
      <c r="C6" s="2" t="s">
        <v>57</v>
      </c>
    </row>
    <row r="7" spans="1:10" ht="34.5" customHeight="1" x14ac:dyDescent="0.3">
      <c r="B7" s="2"/>
      <c r="G7" s="18" t="s">
        <v>12</v>
      </c>
      <c r="H7" s="18" t="s">
        <v>18</v>
      </c>
    </row>
    <row r="8" spans="1:10" x14ac:dyDescent="0.25">
      <c r="C8" s="16" t="s">
        <v>3</v>
      </c>
      <c r="D8" s="5"/>
      <c r="E8" s="5"/>
      <c r="F8" s="5"/>
      <c r="G8" s="8">
        <v>20.05</v>
      </c>
      <c r="H8" s="5"/>
    </row>
    <row r="9" spans="1:10" x14ac:dyDescent="0.25">
      <c r="C9" s="16" t="s">
        <v>4</v>
      </c>
      <c r="D9" s="5"/>
      <c r="E9" s="5"/>
      <c r="F9" s="5"/>
      <c r="G9" s="5"/>
      <c r="H9" s="8">
        <v>18.989999999999998</v>
      </c>
    </row>
    <row r="10" spans="1:10" x14ac:dyDescent="0.25">
      <c r="C10" s="16" t="s">
        <v>5</v>
      </c>
      <c r="D10" s="5"/>
      <c r="E10" s="5"/>
      <c r="F10" s="5"/>
      <c r="G10" s="8">
        <v>-4.75</v>
      </c>
      <c r="H10" s="5"/>
    </row>
    <row r="11" spans="1:10" x14ac:dyDescent="0.25">
      <c r="C11" s="16" t="s">
        <v>6</v>
      </c>
      <c r="D11" s="5"/>
      <c r="E11" s="5"/>
      <c r="F11" s="5"/>
      <c r="G11" s="8">
        <v>1.27</v>
      </c>
      <c r="H11" s="5"/>
    </row>
    <row r="12" spans="1:10" x14ac:dyDescent="0.25">
      <c r="C12" s="16" t="s">
        <v>7</v>
      </c>
      <c r="D12" s="5"/>
      <c r="E12" s="5"/>
      <c r="F12" s="5"/>
      <c r="G12" s="8">
        <v>9.61</v>
      </c>
      <c r="H12" s="5"/>
    </row>
    <row r="13" spans="1:10" x14ac:dyDescent="0.25">
      <c r="F13" s="4" t="s">
        <v>8</v>
      </c>
      <c r="G13" s="8">
        <f>SUM(G8:G12)</f>
        <v>26.18</v>
      </c>
      <c r="H13" s="8">
        <f>SUM(H8:H12)</f>
        <v>18.989999999999998</v>
      </c>
      <c r="I13" s="15" t="s">
        <v>19</v>
      </c>
      <c r="J13" s="26">
        <f>G13+H13</f>
        <v>45.17</v>
      </c>
    </row>
    <row r="15" spans="1:10" x14ac:dyDescent="0.25">
      <c r="C15" s="16" t="s">
        <v>9</v>
      </c>
      <c r="D15" s="23"/>
      <c r="G15" s="24">
        <v>109.828</v>
      </c>
      <c r="H15" s="6" t="s">
        <v>17</v>
      </c>
    </row>
    <row r="17" spans="2:19" x14ac:dyDescent="0.25">
      <c r="B17" s="25" t="s">
        <v>56</v>
      </c>
      <c r="C17" s="1" t="s">
        <v>59</v>
      </c>
    </row>
    <row r="18" spans="2:19" x14ac:dyDescent="0.25">
      <c r="B18" s="25"/>
      <c r="C18" s="1" t="s">
        <v>64</v>
      </c>
    </row>
    <row r="19" spans="2:19" x14ac:dyDescent="0.25">
      <c r="B19" s="17" t="s">
        <v>11</v>
      </c>
      <c r="C19" s="28" t="s">
        <v>31</v>
      </c>
      <c r="D19" s="28" t="s">
        <v>32</v>
      </c>
      <c r="E19" s="28" t="s">
        <v>33</v>
      </c>
      <c r="F19" s="28" t="s">
        <v>34</v>
      </c>
      <c r="G19" s="28" t="s">
        <v>35</v>
      </c>
      <c r="H19" s="28" t="s">
        <v>36</v>
      </c>
      <c r="I19" s="28" t="s">
        <v>37</v>
      </c>
      <c r="J19" s="28" t="s">
        <v>38</v>
      </c>
      <c r="K19" s="28" t="s">
        <v>39</v>
      </c>
      <c r="L19" s="28" t="s">
        <v>40</v>
      </c>
      <c r="M19" s="28" t="s">
        <v>41</v>
      </c>
      <c r="N19" s="28" t="s">
        <v>42</v>
      </c>
      <c r="O19" s="28" t="s">
        <v>43</v>
      </c>
      <c r="P19" s="28" t="s">
        <v>44</v>
      </c>
      <c r="Q19" s="28" t="s">
        <v>45</v>
      </c>
      <c r="S19" s="1" t="s">
        <v>10</v>
      </c>
    </row>
    <row r="20" spans="2:19" x14ac:dyDescent="0.25">
      <c r="B20" s="17" t="s">
        <v>0</v>
      </c>
      <c r="C20" s="5"/>
      <c r="D20" s="5"/>
      <c r="E20" s="5"/>
      <c r="F20" s="5"/>
      <c r="G20" s="5"/>
      <c r="H20" s="5"/>
      <c r="I20" s="5"/>
      <c r="J20" s="5"/>
      <c r="K20" s="5">
        <v>0.4</v>
      </c>
      <c r="L20" s="5">
        <v>0.46</v>
      </c>
      <c r="M20" s="5">
        <v>0.49</v>
      </c>
      <c r="N20" s="5">
        <v>0.4</v>
      </c>
      <c r="O20" s="5">
        <v>0.48</v>
      </c>
      <c r="P20" s="5">
        <v>0.45</v>
      </c>
      <c r="Q20" s="5">
        <v>0.4</v>
      </c>
      <c r="S20" s="9">
        <f>SUM(C20:R20)</f>
        <v>3.08</v>
      </c>
    </row>
    <row r="21" spans="2:19" x14ac:dyDescent="0.25">
      <c r="B21" s="17" t="s">
        <v>1</v>
      </c>
      <c r="C21" s="5"/>
      <c r="D21" s="5"/>
      <c r="E21" s="5"/>
      <c r="F21" s="5"/>
      <c r="G21" s="5">
        <v>0.65</v>
      </c>
      <c r="H21" s="5">
        <v>0.49</v>
      </c>
      <c r="I21" s="5">
        <v>0.51</v>
      </c>
      <c r="J21" s="5">
        <v>0.6</v>
      </c>
      <c r="K21" s="5">
        <v>0.65</v>
      </c>
      <c r="L21" s="5">
        <v>0.55000000000000004</v>
      </c>
      <c r="M21" s="5">
        <v>0.5</v>
      </c>
      <c r="N21" s="5">
        <v>0.6</v>
      </c>
      <c r="O21" s="5">
        <v>0.65</v>
      </c>
      <c r="P21" s="5">
        <v>0.65</v>
      </c>
      <c r="Q21" s="5">
        <v>0.45</v>
      </c>
      <c r="S21" s="9">
        <f t="shared" ref="S21:S22" si="0">SUM(C21:R21)</f>
        <v>6.3000000000000007</v>
      </c>
    </row>
    <row r="22" spans="2:19" x14ac:dyDescent="0.25">
      <c r="B22" s="17" t="s">
        <v>2</v>
      </c>
      <c r="C22" s="5">
        <v>0.6</v>
      </c>
      <c r="D22" s="5">
        <v>0.65</v>
      </c>
      <c r="E22" s="5">
        <v>0.65</v>
      </c>
      <c r="F22" s="5">
        <v>0.45</v>
      </c>
      <c r="G22" s="5">
        <v>0.55000000000000004</v>
      </c>
      <c r="H22" s="5">
        <v>0.45</v>
      </c>
      <c r="I22" s="5">
        <v>0.57999999999999996</v>
      </c>
      <c r="J22" s="5">
        <v>0.6</v>
      </c>
      <c r="K22" s="5">
        <v>0.45</v>
      </c>
      <c r="L22" s="5">
        <v>0.6</v>
      </c>
      <c r="M22" s="5">
        <v>0.65</v>
      </c>
      <c r="N22" s="5">
        <v>0.57999999999999996</v>
      </c>
      <c r="O22" s="5">
        <v>0.65</v>
      </c>
      <c r="P22" s="5">
        <v>0.45</v>
      </c>
      <c r="Q22" s="5">
        <v>0.57999999999999996</v>
      </c>
      <c r="S22" s="9">
        <f t="shared" si="0"/>
        <v>8.49</v>
      </c>
    </row>
    <row r="23" spans="2:19" x14ac:dyDescent="0.25">
      <c r="S23" s="34">
        <f>SUM(S20:S22)</f>
        <v>17.87</v>
      </c>
    </row>
    <row r="24" spans="2:19" ht="18.75" x14ac:dyDescent="0.3">
      <c r="B24" s="2" t="s">
        <v>49</v>
      </c>
    </row>
    <row r="26" spans="2:19" ht="98.25" customHeight="1" x14ac:dyDescent="0.25">
      <c r="C26" s="19" t="s">
        <v>13</v>
      </c>
      <c r="D26" s="20" t="s">
        <v>14</v>
      </c>
      <c r="E26" s="20" t="s">
        <v>24</v>
      </c>
      <c r="F26" s="20" t="s">
        <v>15</v>
      </c>
      <c r="G26" s="20" t="s">
        <v>20</v>
      </c>
      <c r="H26" s="20" t="s">
        <v>21</v>
      </c>
      <c r="I26" s="20" t="s">
        <v>22</v>
      </c>
    </row>
    <row r="27" spans="2:19" x14ac:dyDescent="0.25">
      <c r="C27" s="17" t="s">
        <v>0</v>
      </c>
      <c r="D27" s="5">
        <f>S20</f>
        <v>3.08</v>
      </c>
      <c r="E27" s="5">
        <f>(D27)/$D$30</f>
        <v>0.17235590374930049</v>
      </c>
      <c r="F27" s="5">
        <f>$G$15*E27</f>
        <v>18.929504196978176</v>
      </c>
      <c r="G27" s="8">
        <f>$H$13*E27</f>
        <v>3.2730386121992159</v>
      </c>
      <c r="H27" s="8">
        <f>$G$13*E27</f>
        <v>4.5122775601566865</v>
      </c>
      <c r="I27" s="8">
        <f>G27+H27</f>
        <v>7.7853161723559019</v>
      </c>
    </row>
    <row r="28" spans="2:19" x14ac:dyDescent="0.25">
      <c r="C28" s="17" t="s">
        <v>1</v>
      </c>
      <c r="D28" s="5">
        <f>S21</f>
        <v>6.3000000000000007</v>
      </c>
      <c r="E28" s="5">
        <f t="shared" ref="E28:E29" si="1">(D28)/$D$30</f>
        <v>0.35254616675993289</v>
      </c>
      <c r="F28" s="5">
        <f t="shared" ref="F28:F29" si="2">$G$15*E28</f>
        <v>38.71944040290991</v>
      </c>
      <c r="G28" s="8">
        <f t="shared" ref="G28:G29" si="3">$H$13*E28</f>
        <v>6.6948517067711251</v>
      </c>
      <c r="H28" s="8">
        <f t="shared" ref="H28:H29" si="4">$G$13*E28</f>
        <v>9.2296586457750429</v>
      </c>
      <c r="I28" s="8">
        <f t="shared" ref="I28:I29" si="5">G28+H28</f>
        <v>15.924510352546168</v>
      </c>
    </row>
    <row r="29" spans="2:19" x14ac:dyDescent="0.25">
      <c r="C29" s="17" t="s">
        <v>2</v>
      </c>
      <c r="D29" s="5">
        <f>S22</f>
        <v>8.49</v>
      </c>
      <c r="E29" s="5">
        <f t="shared" si="1"/>
        <v>0.47509792949076662</v>
      </c>
      <c r="F29" s="5">
        <f t="shared" si="2"/>
        <v>52.17905540011192</v>
      </c>
      <c r="G29" s="8">
        <f t="shared" si="3"/>
        <v>9.0221096810296579</v>
      </c>
      <c r="H29" s="8">
        <f t="shared" si="4"/>
        <v>12.43806379406827</v>
      </c>
      <c r="I29" s="8">
        <f t="shared" si="5"/>
        <v>21.460173475097928</v>
      </c>
    </row>
    <row r="30" spans="2:19" x14ac:dyDescent="0.25">
      <c r="C30" s="4" t="s">
        <v>16</v>
      </c>
      <c r="D30" s="5">
        <f t="shared" ref="D30:I30" si="6">SUM(D27:D29)</f>
        <v>17.87</v>
      </c>
      <c r="E30" s="5">
        <f t="shared" si="6"/>
        <v>1</v>
      </c>
      <c r="F30" s="5">
        <f t="shared" si="6"/>
        <v>109.828</v>
      </c>
      <c r="G30" s="5">
        <f t="shared" si="6"/>
        <v>18.989999999999998</v>
      </c>
      <c r="H30" s="5">
        <f t="shared" si="6"/>
        <v>26.18</v>
      </c>
      <c r="I30" s="5">
        <f t="shared" si="6"/>
        <v>45.17</v>
      </c>
    </row>
    <row r="33" spans="2:19" ht="18.75" x14ac:dyDescent="0.3">
      <c r="B33" s="2" t="s">
        <v>50</v>
      </c>
    </row>
    <row r="36" spans="2:19" x14ac:dyDescent="0.25">
      <c r="C36" s="1" t="s">
        <v>23</v>
      </c>
    </row>
    <row r="37" spans="2:19" x14ac:dyDescent="0.25">
      <c r="B37" s="17" t="s">
        <v>11</v>
      </c>
      <c r="C37" s="28" t="s">
        <v>31</v>
      </c>
      <c r="D37" s="28" t="s">
        <v>32</v>
      </c>
      <c r="E37" s="28" t="s">
        <v>33</v>
      </c>
      <c r="F37" s="28" t="s">
        <v>34</v>
      </c>
      <c r="G37" s="28" t="s">
        <v>35</v>
      </c>
      <c r="H37" s="28" t="s">
        <v>36</v>
      </c>
      <c r="I37" s="28" t="s">
        <v>37</v>
      </c>
      <c r="J37" s="28" t="s">
        <v>38</v>
      </c>
      <c r="K37" s="28" t="s">
        <v>39</v>
      </c>
      <c r="L37" s="28" t="s">
        <v>40</v>
      </c>
      <c r="M37" s="28" t="s">
        <v>41</v>
      </c>
      <c r="N37" s="28" t="s">
        <v>42</v>
      </c>
      <c r="O37" s="28" t="s">
        <v>43</v>
      </c>
      <c r="P37" s="28" t="s">
        <v>44</v>
      </c>
      <c r="Q37" s="28" t="s">
        <v>45</v>
      </c>
      <c r="S37" s="22" t="s">
        <v>10</v>
      </c>
    </row>
    <row r="38" spans="2:19" x14ac:dyDescent="0.25">
      <c r="B38" s="17" t="s">
        <v>0</v>
      </c>
      <c r="C38" s="5">
        <v>0.56000000000000005</v>
      </c>
      <c r="D38" s="5">
        <v>0.4</v>
      </c>
      <c r="E38" s="5">
        <v>0.5</v>
      </c>
      <c r="F38" s="5">
        <v>0.6</v>
      </c>
      <c r="G38" s="5">
        <v>0.65</v>
      </c>
      <c r="H38" s="5">
        <v>0.4</v>
      </c>
      <c r="I38" s="5">
        <v>0.45</v>
      </c>
      <c r="J38" s="5">
        <v>0.4</v>
      </c>
      <c r="K38" s="5">
        <v>0.4</v>
      </c>
      <c r="L38" s="5">
        <v>0.46</v>
      </c>
      <c r="M38" s="5">
        <v>0.49</v>
      </c>
      <c r="N38" s="5">
        <v>0.4</v>
      </c>
      <c r="O38" s="5">
        <v>0.48</v>
      </c>
      <c r="P38" s="5">
        <v>0.45</v>
      </c>
      <c r="Q38" s="5">
        <v>0.4</v>
      </c>
      <c r="S38" s="9">
        <f>SUM(C38:R38)</f>
        <v>7.0400000000000018</v>
      </c>
    </row>
    <row r="39" spans="2:19" x14ac:dyDescent="0.25">
      <c r="B39" s="17" t="s">
        <v>1</v>
      </c>
      <c r="C39" s="5">
        <v>0.45</v>
      </c>
      <c r="D39" s="5">
        <v>0.57999999999999996</v>
      </c>
      <c r="E39" s="5">
        <v>0.65</v>
      </c>
      <c r="F39" s="5">
        <v>0.57999999999999996</v>
      </c>
      <c r="G39" s="5">
        <v>0.65</v>
      </c>
      <c r="H39" s="5">
        <v>0.49</v>
      </c>
      <c r="I39" s="5">
        <v>0.51</v>
      </c>
      <c r="J39" s="5">
        <v>0.6</v>
      </c>
      <c r="K39" s="5">
        <v>0.65</v>
      </c>
      <c r="L39" s="5">
        <v>0.55000000000000004</v>
      </c>
      <c r="M39" s="5">
        <v>0.5</v>
      </c>
      <c r="N39" s="5">
        <v>0.6</v>
      </c>
      <c r="O39" s="5">
        <v>0.65</v>
      </c>
      <c r="P39" s="5">
        <v>0.65</v>
      </c>
      <c r="Q39" s="5">
        <v>0.45</v>
      </c>
      <c r="S39" s="9">
        <f t="shared" ref="S39:S40" si="7">SUM(C39:R39)</f>
        <v>8.5599999999999987</v>
      </c>
    </row>
    <row r="40" spans="2:19" x14ac:dyDescent="0.25">
      <c r="B40" s="17" t="s">
        <v>2</v>
      </c>
      <c r="C40" s="5">
        <v>0.6</v>
      </c>
      <c r="D40" s="5">
        <v>0.65</v>
      </c>
      <c r="E40" s="5">
        <v>0.65</v>
      </c>
      <c r="F40" s="5">
        <v>0.45</v>
      </c>
      <c r="G40" s="5">
        <v>0.55000000000000004</v>
      </c>
      <c r="H40" s="5">
        <v>0.45</v>
      </c>
      <c r="I40" s="5">
        <v>0.57999999999999996</v>
      </c>
      <c r="J40" s="5">
        <v>0.6</v>
      </c>
      <c r="K40" s="5">
        <v>0.45</v>
      </c>
      <c r="L40" s="5">
        <v>0.6</v>
      </c>
      <c r="M40" s="5">
        <v>0.65</v>
      </c>
      <c r="N40" s="5">
        <v>0.57999999999999996</v>
      </c>
      <c r="O40" s="5">
        <v>0.65</v>
      </c>
      <c r="P40" s="5">
        <v>0.45</v>
      </c>
      <c r="Q40" s="5">
        <v>0.57999999999999996</v>
      </c>
      <c r="S40" s="9">
        <f t="shared" si="7"/>
        <v>8.49</v>
      </c>
    </row>
    <row r="41" spans="2:19" x14ac:dyDescent="0.25">
      <c r="S41" s="3"/>
    </row>
    <row r="42" spans="2:19" x14ac:dyDescent="0.25">
      <c r="S42" s="3"/>
    </row>
    <row r="43" spans="2:19" x14ac:dyDescent="0.25">
      <c r="C43" s="14" t="s">
        <v>25</v>
      </c>
      <c r="S43" s="3"/>
    </row>
    <row r="44" spans="2:19" x14ac:dyDescent="0.25">
      <c r="B44" s="17" t="s">
        <v>11</v>
      </c>
      <c r="C44" s="16" t="s">
        <v>31</v>
      </c>
      <c r="D44" s="16" t="s">
        <v>32</v>
      </c>
      <c r="E44" s="16" t="s">
        <v>33</v>
      </c>
      <c r="F44" s="16" t="s">
        <v>34</v>
      </c>
      <c r="G44" s="16" t="s">
        <v>35</v>
      </c>
      <c r="H44" s="16" t="s">
        <v>36</v>
      </c>
      <c r="I44" s="16" t="s">
        <v>37</v>
      </c>
      <c r="J44" s="16" t="s">
        <v>38</v>
      </c>
      <c r="K44" s="16" t="s">
        <v>39</v>
      </c>
      <c r="L44" s="16" t="s">
        <v>40</v>
      </c>
      <c r="M44" s="16" t="s">
        <v>41</v>
      </c>
      <c r="N44" s="16" t="s">
        <v>42</v>
      </c>
      <c r="O44" s="16" t="s">
        <v>43</v>
      </c>
      <c r="P44" s="16" t="s">
        <v>44</v>
      </c>
      <c r="Q44" s="16" t="s">
        <v>45</v>
      </c>
      <c r="S44" s="22" t="s">
        <v>46</v>
      </c>
    </row>
    <row r="45" spans="2:19" x14ac:dyDescent="0.25">
      <c r="B45" s="17" t="s">
        <v>0</v>
      </c>
      <c r="C45" s="5">
        <f>C20/$S$20</f>
        <v>0</v>
      </c>
      <c r="D45" s="5">
        <f t="shared" ref="D45:Q45" si="8">D20/$S$20</f>
        <v>0</v>
      </c>
      <c r="E45" s="5">
        <f t="shared" si="8"/>
        <v>0</v>
      </c>
      <c r="F45" s="5">
        <f t="shared" si="8"/>
        <v>0</v>
      </c>
      <c r="G45" s="5">
        <f t="shared" si="8"/>
        <v>0</v>
      </c>
      <c r="H45" s="5">
        <f t="shared" si="8"/>
        <v>0</v>
      </c>
      <c r="I45" s="5">
        <f t="shared" si="8"/>
        <v>0</v>
      </c>
      <c r="J45" s="5">
        <f t="shared" si="8"/>
        <v>0</v>
      </c>
      <c r="K45" s="5">
        <f t="shared" si="8"/>
        <v>0.12987012987012989</v>
      </c>
      <c r="L45" s="5">
        <f t="shared" si="8"/>
        <v>0.14935064935064934</v>
      </c>
      <c r="M45" s="5">
        <f t="shared" si="8"/>
        <v>0.15909090909090909</v>
      </c>
      <c r="N45" s="5">
        <f t="shared" si="8"/>
        <v>0.12987012987012989</v>
      </c>
      <c r="O45" s="5">
        <f t="shared" si="8"/>
        <v>0.15584415584415584</v>
      </c>
      <c r="P45" s="5">
        <f t="shared" si="8"/>
        <v>0.1461038961038961</v>
      </c>
      <c r="Q45" s="5">
        <f t="shared" si="8"/>
        <v>0.12987012987012989</v>
      </c>
      <c r="S45" s="9">
        <f>SUM(C45:R45)</f>
        <v>1</v>
      </c>
    </row>
    <row r="46" spans="2:19" x14ac:dyDescent="0.25">
      <c r="B46" s="17" t="s">
        <v>1</v>
      </c>
      <c r="C46" s="5">
        <f>C21/$S$21</f>
        <v>0</v>
      </c>
      <c r="D46" s="5">
        <f t="shared" ref="D46:Q46" si="9">D21/$S$21</f>
        <v>0</v>
      </c>
      <c r="E46" s="5">
        <f t="shared" si="9"/>
        <v>0</v>
      </c>
      <c r="F46" s="5">
        <f t="shared" si="9"/>
        <v>0</v>
      </c>
      <c r="G46" s="5">
        <f t="shared" si="9"/>
        <v>0.10317460317460317</v>
      </c>
      <c r="H46" s="5">
        <f t="shared" si="9"/>
        <v>7.7777777777777765E-2</v>
      </c>
      <c r="I46" s="5">
        <f t="shared" si="9"/>
        <v>8.0952380952380942E-2</v>
      </c>
      <c r="J46" s="5">
        <f t="shared" si="9"/>
        <v>9.5238095238095219E-2</v>
      </c>
      <c r="K46" s="5">
        <f t="shared" si="9"/>
        <v>0.10317460317460317</v>
      </c>
      <c r="L46" s="5">
        <f t="shared" si="9"/>
        <v>8.7301587301587297E-2</v>
      </c>
      <c r="M46" s="5">
        <f t="shared" si="9"/>
        <v>7.9365079365079361E-2</v>
      </c>
      <c r="N46" s="5">
        <f t="shared" si="9"/>
        <v>9.5238095238095219E-2</v>
      </c>
      <c r="O46" s="5">
        <f t="shared" si="9"/>
        <v>0.10317460317460317</v>
      </c>
      <c r="P46" s="5">
        <f t="shared" si="9"/>
        <v>0.10317460317460317</v>
      </c>
      <c r="Q46" s="5">
        <f t="shared" si="9"/>
        <v>7.1428571428571425E-2</v>
      </c>
      <c r="S46" s="9">
        <f t="shared" ref="S46:S47" si="10">SUM(C46:R46)</f>
        <v>0.99999999999999989</v>
      </c>
    </row>
    <row r="47" spans="2:19" x14ac:dyDescent="0.25">
      <c r="B47" s="17" t="s">
        <v>2</v>
      </c>
      <c r="C47" s="5">
        <f>C22/$S$22</f>
        <v>7.0671378091872794E-2</v>
      </c>
      <c r="D47" s="5">
        <f t="shared" ref="D47:Q47" si="11">D22/$S$22</f>
        <v>7.656065959952886E-2</v>
      </c>
      <c r="E47" s="5">
        <f t="shared" si="11"/>
        <v>7.656065959952886E-2</v>
      </c>
      <c r="F47" s="5">
        <f t="shared" si="11"/>
        <v>5.3003533568904596E-2</v>
      </c>
      <c r="G47" s="5">
        <f t="shared" si="11"/>
        <v>6.4782096584216728E-2</v>
      </c>
      <c r="H47" s="5">
        <f t="shared" si="11"/>
        <v>5.3003533568904596E-2</v>
      </c>
      <c r="I47" s="5">
        <f t="shared" si="11"/>
        <v>6.8315665488810365E-2</v>
      </c>
      <c r="J47" s="5">
        <f t="shared" si="11"/>
        <v>7.0671378091872794E-2</v>
      </c>
      <c r="K47" s="5">
        <f t="shared" si="11"/>
        <v>5.3003533568904596E-2</v>
      </c>
      <c r="L47" s="5">
        <f t="shared" si="11"/>
        <v>7.0671378091872794E-2</v>
      </c>
      <c r="M47" s="5">
        <f t="shared" si="11"/>
        <v>7.656065959952886E-2</v>
      </c>
      <c r="N47" s="5">
        <f t="shared" si="11"/>
        <v>6.8315665488810365E-2</v>
      </c>
      <c r="O47" s="5">
        <f t="shared" si="11"/>
        <v>7.656065959952886E-2</v>
      </c>
      <c r="P47" s="5">
        <f t="shared" si="11"/>
        <v>5.3003533568904596E-2</v>
      </c>
      <c r="Q47" s="5">
        <f t="shared" si="11"/>
        <v>6.8315665488810365E-2</v>
      </c>
      <c r="S47" s="9">
        <f t="shared" si="10"/>
        <v>1</v>
      </c>
    </row>
    <row r="48" spans="2:19" x14ac:dyDescent="0.25">
      <c r="S48" s="3"/>
    </row>
    <row r="49" spans="2:20" x14ac:dyDescent="0.25">
      <c r="B49" s="25" t="s">
        <v>55</v>
      </c>
      <c r="C49" s="14" t="s">
        <v>53</v>
      </c>
      <c r="S49" s="3"/>
    </row>
    <row r="50" spans="2:20" x14ac:dyDescent="0.25">
      <c r="B50" s="17" t="s">
        <v>11</v>
      </c>
      <c r="C50" s="16" t="s">
        <v>31</v>
      </c>
      <c r="D50" s="16" t="s">
        <v>32</v>
      </c>
      <c r="E50" s="16" t="s">
        <v>33</v>
      </c>
      <c r="F50" s="16" t="s">
        <v>34</v>
      </c>
      <c r="G50" s="16" t="s">
        <v>35</v>
      </c>
      <c r="H50" s="16" t="s">
        <v>36</v>
      </c>
      <c r="I50" s="16" t="s">
        <v>37</v>
      </c>
      <c r="J50" s="16" t="s">
        <v>38</v>
      </c>
      <c r="K50" s="16" t="s">
        <v>39</v>
      </c>
      <c r="L50" s="16" t="s">
        <v>40</v>
      </c>
      <c r="M50" s="16" t="s">
        <v>41</v>
      </c>
      <c r="N50" s="16" t="s">
        <v>42</v>
      </c>
      <c r="O50" s="16" t="s">
        <v>43</v>
      </c>
      <c r="P50" s="16" t="s">
        <v>44</v>
      </c>
      <c r="Q50" s="16" t="s">
        <v>45</v>
      </c>
      <c r="S50" s="22" t="s">
        <v>48</v>
      </c>
    </row>
    <row r="51" spans="2:20" x14ac:dyDescent="0.25">
      <c r="B51" s="17" t="s">
        <v>0</v>
      </c>
      <c r="C51" s="12">
        <f>C45*$F$27</f>
        <v>0</v>
      </c>
      <c r="D51" s="12">
        <f t="shared" ref="D51:Q51" si="12">D45*$F$27</f>
        <v>0</v>
      </c>
      <c r="E51" s="12">
        <f t="shared" si="12"/>
        <v>0</v>
      </c>
      <c r="F51" s="12">
        <f t="shared" si="12"/>
        <v>0</v>
      </c>
      <c r="G51" s="12">
        <f t="shared" si="12"/>
        <v>0</v>
      </c>
      <c r="H51" s="12">
        <f t="shared" si="12"/>
        <v>0</v>
      </c>
      <c r="I51" s="12">
        <f t="shared" si="12"/>
        <v>0</v>
      </c>
      <c r="J51" s="12">
        <f t="shared" si="12"/>
        <v>0</v>
      </c>
      <c r="K51" s="12">
        <f t="shared" si="12"/>
        <v>2.4583771684387243</v>
      </c>
      <c r="L51" s="12">
        <f t="shared" si="12"/>
        <v>2.8271337437045325</v>
      </c>
      <c r="M51" s="12">
        <f t="shared" si="12"/>
        <v>3.0115120313374368</v>
      </c>
      <c r="N51" s="12">
        <f t="shared" si="12"/>
        <v>2.4583771684387243</v>
      </c>
      <c r="O51" s="12">
        <f t="shared" si="12"/>
        <v>2.950052602126469</v>
      </c>
      <c r="P51" s="12">
        <f t="shared" si="12"/>
        <v>2.7656743144935647</v>
      </c>
      <c r="Q51" s="12">
        <f t="shared" si="12"/>
        <v>2.4583771684387243</v>
      </c>
      <c r="S51" s="12">
        <f>SUM(C51:R51)</f>
        <v>18.929504196978176</v>
      </c>
    </row>
    <row r="52" spans="2:20" x14ac:dyDescent="0.25">
      <c r="B52" s="17" t="s">
        <v>1</v>
      </c>
      <c r="C52" s="12">
        <f>C46*$F$28</f>
        <v>0</v>
      </c>
      <c r="D52" s="12">
        <f t="shared" ref="D52:Q52" si="13">D46*$F$28</f>
        <v>0</v>
      </c>
      <c r="E52" s="12">
        <f t="shared" si="13"/>
        <v>0</v>
      </c>
      <c r="F52" s="12">
        <f t="shared" si="13"/>
        <v>0</v>
      </c>
      <c r="G52" s="12">
        <f t="shared" si="13"/>
        <v>3.9948628987129271</v>
      </c>
      <c r="H52" s="12">
        <f t="shared" si="13"/>
        <v>3.0115120313374368</v>
      </c>
      <c r="I52" s="12">
        <f t="shared" si="13"/>
        <v>3.1344308897593733</v>
      </c>
      <c r="J52" s="12">
        <f t="shared" si="13"/>
        <v>3.6875657526580858</v>
      </c>
      <c r="K52" s="12">
        <f t="shared" si="13"/>
        <v>3.9948628987129271</v>
      </c>
      <c r="L52" s="12">
        <f t="shared" si="13"/>
        <v>3.3802686066032459</v>
      </c>
      <c r="M52" s="12">
        <f t="shared" si="13"/>
        <v>3.0729714605484055</v>
      </c>
      <c r="N52" s="12">
        <f t="shared" si="13"/>
        <v>3.6875657526580858</v>
      </c>
      <c r="O52" s="12">
        <f t="shared" si="13"/>
        <v>3.9948628987129271</v>
      </c>
      <c r="P52" s="12">
        <f t="shared" si="13"/>
        <v>3.9948628987129271</v>
      </c>
      <c r="Q52" s="12">
        <f t="shared" si="13"/>
        <v>2.7656743144935647</v>
      </c>
      <c r="S52" s="12">
        <f t="shared" ref="S52:S53" si="14">SUM(C52:R52)</f>
        <v>38.719440402909903</v>
      </c>
    </row>
    <row r="53" spans="2:20" x14ac:dyDescent="0.25">
      <c r="B53" s="17" t="s">
        <v>2</v>
      </c>
      <c r="C53" s="12">
        <f>C47*$F$29</f>
        <v>3.6875657526580863</v>
      </c>
      <c r="D53" s="12">
        <f t="shared" ref="D53:Q53" si="15">D47*$F$29</f>
        <v>3.9948628987129271</v>
      </c>
      <c r="E53" s="12">
        <f t="shared" si="15"/>
        <v>3.9948628987129271</v>
      </c>
      <c r="F53" s="12">
        <f t="shared" si="15"/>
        <v>2.7656743144935647</v>
      </c>
      <c r="G53" s="12">
        <f t="shared" si="15"/>
        <v>3.3802686066032459</v>
      </c>
      <c r="H53" s="12">
        <f t="shared" si="15"/>
        <v>2.7656743144935647</v>
      </c>
      <c r="I53" s="12">
        <f t="shared" si="15"/>
        <v>3.5646468942361502</v>
      </c>
      <c r="J53" s="12">
        <f t="shared" si="15"/>
        <v>3.6875657526580863</v>
      </c>
      <c r="K53" s="12">
        <f t="shared" si="15"/>
        <v>2.7656743144935647</v>
      </c>
      <c r="L53" s="12">
        <f t="shared" si="15"/>
        <v>3.6875657526580863</v>
      </c>
      <c r="M53" s="12">
        <f t="shared" si="15"/>
        <v>3.9948628987129271</v>
      </c>
      <c r="N53" s="12">
        <f t="shared" si="15"/>
        <v>3.5646468942361502</v>
      </c>
      <c r="O53" s="12">
        <f t="shared" si="15"/>
        <v>3.9948628987129271</v>
      </c>
      <c r="P53" s="12">
        <f t="shared" si="15"/>
        <v>2.7656743144935647</v>
      </c>
      <c r="Q53" s="12">
        <f t="shared" si="15"/>
        <v>3.5646468942361502</v>
      </c>
      <c r="S53" s="12">
        <f t="shared" si="14"/>
        <v>52.17905540011192</v>
      </c>
    </row>
    <row r="54" spans="2:20" ht="18.75" x14ac:dyDescent="0.3">
      <c r="Q54" s="13" t="s">
        <v>28</v>
      </c>
      <c r="S54" s="12">
        <f>SUM(S51:S53)</f>
        <v>109.828</v>
      </c>
      <c r="T54" t="s">
        <v>17</v>
      </c>
    </row>
    <row r="55" spans="2:20" ht="18.75" x14ac:dyDescent="0.3">
      <c r="Q55" s="13"/>
      <c r="S55" s="10"/>
    </row>
    <row r="56" spans="2:20" x14ac:dyDescent="0.25">
      <c r="B56" s="25" t="s">
        <v>55</v>
      </c>
      <c r="C56" s="14" t="s">
        <v>54</v>
      </c>
      <c r="S56" s="3"/>
    </row>
    <row r="57" spans="2:20" x14ac:dyDescent="0.25">
      <c r="B57" s="17" t="s">
        <v>11</v>
      </c>
      <c r="C57" s="16" t="s">
        <v>31</v>
      </c>
      <c r="D57" s="16" t="s">
        <v>32</v>
      </c>
      <c r="E57" s="16" t="s">
        <v>33</v>
      </c>
      <c r="F57" s="16" t="s">
        <v>34</v>
      </c>
      <c r="G57" s="16" t="s">
        <v>35</v>
      </c>
      <c r="H57" s="16" t="s">
        <v>36</v>
      </c>
      <c r="I57" s="16" t="s">
        <v>37</v>
      </c>
      <c r="J57" s="16" t="s">
        <v>38</v>
      </c>
      <c r="K57" s="16" t="s">
        <v>39</v>
      </c>
      <c r="L57" s="16" t="s">
        <v>40</v>
      </c>
      <c r="M57" s="16" t="s">
        <v>41</v>
      </c>
      <c r="N57" s="16" t="s">
        <v>42</v>
      </c>
      <c r="O57" s="16" t="s">
        <v>43</v>
      </c>
      <c r="P57" s="16" t="s">
        <v>44</v>
      </c>
      <c r="Q57" s="16" t="s">
        <v>45</v>
      </c>
      <c r="S57" s="22" t="s">
        <v>47</v>
      </c>
    </row>
    <row r="58" spans="2:20" x14ac:dyDescent="0.25">
      <c r="B58" s="17" t="s">
        <v>0</v>
      </c>
      <c r="C58" s="8">
        <f t="shared" ref="C58:Q58" si="16">C45*$G$27</f>
        <v>0</v>
      </c>
      <c r="D58" s="8">
        <f t="shared" si="16"/>
        <v>0</v>
      </c>
      <c r="E58" s="8">
        <f t="shared" si="16"/>
        <v>0</v>
      </c>
      <c r="F58" s="8">
        <f t="shared" si="16"/>
        <v>0</v>
      </c>
      <c r="G58" s="8">
        <f t="shared" si="16"/>
        <v>0</v>
      </c>
      <c r="H58" s="8">
        <f t="shared" si="16"/>
        <v>0</v>
      </c>
      <c r="I58" s="8">
        <f t="shared" si="16"/>
        <v>0</v>
      </c>
      <c r="J58" s="8">
        <f t="shared" si="16"/>
        <v>0</v>
      </c>
      <c r="K58" s="8">
        <f t="shared" si="16"/>
        <v>0.42506994963626188</v>
      </c>
      <c r="L58" s="8">
        <f t="shared" si="16"/>
        <v>0.48883044208170107</v>
      </c>
      <c r="M58" s="8">
        <f t="shared" si="16"/>
        <v>0.52071068830442069</v>
      </c>
      <c r="N58" s="8">
        <f t="shared" si="16"/>
        <v>0.42506994963626188</v>
      </c>
      <c r="O58" s="8">
        <f t="shared" si="16"/>
        <v>0.51008393956351417</v>
      </c>
      <c r="P58" s="8">
        <f t="shared" si="16"/>
        <v>0.47820369334079449</v>
      </c>
      <c r="Q58" s="8">
        <f t="shared" si="16"/>
        <v>0.42506994963626188</v>
      </c>
      <c r="S58" s="11">
        <f>SUM(C58:R58)</f>
        <v>3.2730386121992154</v>
      </c>
    </row>
    <row r="59" spans="2:20" x14ac:dyDescent="0.25">
      <c r="B59" s="17" t="s">
        <v>1</v>
      </c>
      <c r="C59" s="8">
        <f t="shared" ref="C59:Q59" si="17">C46*$G$28</f>
        <v>0</v>
      </c>
      <c r="D59" s="8">
        <f t="shared" si="17"/>
        <v>0</v>
      </c>
      <c r="E59" s="8">
        <f t="shared" si="17"/>
        <v>0</v>
      </c>
      <c r="F59" s="8">
        <f t="shared" si="17"/>
        <v>0</v>
      </c>
      <c r="G59" s="8">
        <f t="shared" si="17"/>
        <v>0.6907386681589256</v>
      </c>
      <c r="H59" s="8">
        <f t="shared" si="17"/>
        <v>0.5207106883044208</v>
      </c>
      <c r="I59" s="8">
        <f t="shared" si="17"/>
        <v>0.54196418578623384</v>
      </c>
      <c r="J59" s="8">
        <f t="shared" si="17"/>
        <v>0.63760492445439276</v>
      </c>
      <c r="K59" s="8">
        <f t="shared" si="17"/>
        <v>0.6907386681589256</v>
      </c>
      <c r="L59" s="8">
        <f t="shared" si="17"/>
        <v>0.58447118074986004</v>
      </c>
      <c r="M59" s="8">
        <f t="shared" si="17"/>
        <v>0.53133743704532732</v>
      </c>
      <c r="N59" s="8">
        <f t="shared" si="17"/>
        <v>0.63760492445439276</v>
      </c>
      <c r="O59" s="8">
        <f t="shared" si="17"/>
        <v>0.6907386681589256</v>
      </c>
      <c r="P59" s="8">
        <f t="shared" si="17"/>
        <v>0.6907386681589256</v>
      </c>
      <c r="Q59" s="8">
        <f t="shared" si="17"/>
        <v>0.4782036933407946</v>
      </c>
      <c r="S59" s="11">
        <f t="shared" ref="S59:S60" si="18">SUM(C59:R59)</f>
        <v>6.6948517067711242</v>
      </c>
    </row>
    <row r="60" spans="2:20" x14ac:dyDescent="0.25">
      <c r="B60" s="17" t="s">
        <v>2</v>
      </c>
      <c r="C60" s="8">
        <f t="shared" ref="C60:Q60" si="19">C47*$G$29</f>
        <v>0.63760492445439276</v>
      </c>
      <c r="D60" s="8">
        <f t="shared" si="19"/>
        <v>0.6907386681589256</v>
      </c>
      <c r="E60" s="8">
        <f t="shared" si="19"/>
        <v>0.6907386681589256</v>
      </c>
      <c r="F60" s="8">
        <f t="shared" si="19"/>
        <v>0.4782036933407946</v>
      </c>
      <c r="G60" s="8">
        <f t="shared" si="19"/>
        <v>0.58447118074986004</v>
      </c>
      <c r="H60" s="8">
        <f t="shared" si="19"/>
        <v>0.4782036933407946</v>
      </c>
      <c r="I60" s="8">
        <f t="shared" si="19"/>
        <v>0.61635142697257972</v>
      </c>
      <c r="J60" s="8">
        <f t="shared" si="19"/>
        <v>0.63760492445439276</v>
      </c>
      <c r="K60" s="8">
        <f t="shared" si="19"/>
        <v>0.4782036933407946</v>
      </c>
      <c r="L60" s="8">
        <f t="shared" si="19"/>
        <v>0.63760492445439276</v>
      </c>
      <c r="M60" s="8">
        <f t="shared" si="19"/>
        <v>0.6907386681589256</v>
      </c>
      <c r="N60" s="8">
        <f t="shared" si="19"/>
        <v>0.61635142697257972</v>
      </c>
      <c r="O60" s="8">
        <f t="shared" si="19"/>
        <v>0.6907386681589256</v>
      </c>
      <c r="P60" s="8">
        <f t="shared" si="19"/>
        <v>0.4782036933407946</v>
      </c>
      <c r="Q60" s="8">
        <f t="shared" si="19"/>
        <v>0.61635142697257972</v>
      </c>
      <c r="S60" s="11">
        <f t="shared" si="18"/>
        <v>9.0221096810296579</v>
      </c>
    </row>
    <row r="61" spans="2:20" ht="18.75" x14ac:dyDescent="0.3">
      <c r="Q61" s="13" t="s">
        <v>29</v>
      </c>
      <c r="S61" s="21">
        <f>SUM(S58:S60)</f>
        <v>18.989999999999998</v>
      </c>
    </row>
    <row r="62" spans="2:20" x14ac:dyDescent="0.25">
      <c r="S62" s="10"/>
    </row>
    <row r="63" spans="2:20" x14ac:dyDescent="0.25">
      <c r="B63" s="25" t="s">
        <v>55</v>
      </c>
      <c r="C63" s="14" t="s">
        <v>52</v>
      </c>
      <c r="S63" s="3"/>
    </row>
    <row r="64" spans="2:20" x14ac:dyDescent="0.25">
      <c r="B64" s="17" t="s">
        <v>11</v>
      </c>
      <c r="C64" s="16" t="s">
        <v>31</v>
      </c>
      <c r="D64" s="16" t="s">
        <v>32</v>
      </c>
      <c r="E64" s="16" t="s">
        <v>33</v>
      </c>
      <c r="F64" s="16" t="s">
        <v>34</v>
      </c>
      <c r="G64" s="16" t="s">
        <v>35</v>
      </c>
      <c r="H64" s="16" t="s">
        <v>36</v>
      </c>
      <c r="I64" s="16" t="s">
        <v>37</v>
      </c>
      <c r="J64" s="16" t="s">
        <v>38</v>
      </c>
      <c r="K64" s="16" t="s">
        <v>39</v>
      </c>
      <c r="L64" s="16" t="s">
        <v>40</v>
      </c>
      <c r="M64" s="16" t="s">
        <v>41</v>
      </c>
      <c r="N64" s="16" t="s">
        <v>42</v>
      </c>
      <c r="O64" s="16" t="s">
        <v>43</v>
      </c>
      <c r="P64" s="16" t="s">
        <v>44</v>
      </c>
      <c r="Q64" s="16" t="s">
        <v>45</v>
      </c>
      <c r="S64" s="22" t="s">
        <v>48</v>
      </c>
    </row>
    <row r="65" spans="2:20" x14ac:dyDescent="0.25">
      <c r="B65" s="17" t="s">
        <v>0</v>
      </c>
      <c r="C65" s="12">
        <f>C45*$H$27</f>
        <v>0</v>
      </c>
      <c r="D65" s="12">
        <f t="shared" ref="D65:Q65" si="20">D45*$H$27</f>
        <v>0</v>
      </c>
      <c r="E65" s="12">
        <f t="shared" si="20"/>
        <v>0</v>
      </c>
      <c r="F65" s="12">
        <f t="shared" si="20"/>
        <v>0</v>
      </c>
      <c r="G65" s="12">
        <f t="shared" si="20"/>
        <v>0</v>
      </c>
      <c r="H65" s="12">
        <f t="shared" si="20"/>
        <v>0</v>
      </c>
      <c r="I65" s="12">
        <f t="shared" si="20"/>
        <v>0</v>
      </c>
      <c r="J65" s="12">
        <f t="shared" si="20"/>
        <v>0</v>
      </c>
      <c r="K65" s="12">
        <f t="shared" si="20"/>
        <v>0.58601007274762174</v>
      </c>
      <c r="L65" s="12">
        <f t="shared" si="20"/>
        <v>0.67391158365976489</v>
      </c>
      <c r="M65" s="12">
        <f t="shared" si="20"/>
        <v>0.71786233911583652</v>
      </c>
      <c r="N65" s="12">
        <f t="shared" si="20"/>
        <v>0.58601007274762174</v>
      </c>
      <c r="O65" s="12">
        <f t="shared" si="20"/>
        <v>0.7032120872971459</v>
      </c>
      <c r="P65" s="12">
        <f t="shared" si="20"/>
        <v>0.65926133184107427</v>
      </c>
      <c r="Q65" s="12">
        <f t="shared" si="20"/>
        <v>0.58601007274762174</v>
      </c>
      <c r="S65" s="12">
        <f>SUM(C65:R65)</f>
        <v>4.5122775601566874</v>
      </c>
    </row>
    <row r="66" spans="2:20" x14ac:dyDescent="0.25">
      <c r="B66" s="17" t="s">
        <v>1</v>
      </c>
      <c r="C66" s="12">
        <f>C46*$H$28</f>
        <v>0</v>
      </c>
      <c r="D66" s="12">
        <f t="shared" ref="D66:Q66" si="21">D46*$H$28</f>
        <v>0</v>
      </c>
      <c r="E66" s="12">
        <f t="shared" si="21"/>
        <v>0</v>
      </c>
      <c r="F66" s="12">
        <f t="shared" si="21"/>
        <v>0</v>
      </c>
      <c r="G66" s="12">
        <f t="shared" si="21"/>
        <v>0.95226636821488531</v>
      </c>
      <c r="H66" s="12">
        <f t="shared" si="21"/>
        <v>0.71786233911583652</v>
      </c>
      <c r="I66" s="12">
        <f t="shared" si="21"/>
        <v>0.74716284275321765</v>
      </c>
      <c r="J66" s="12">
        <f t="shared" si="21"/>
        <v>0.87901510912143244</v>
      </c>
      <c r="K66" s="12">
        <f t="shared" si="21"/>
        <v>0.95226636821488531</v>
      </c>
      <c r="L66" s="12">
        <f t="shared" si="21"/>
        <v>0.8057638500279799</v>
      </c>
      <c r="M66" s="12">
        <f t="shared" si="21"/>
        <v>0.73251259093452714</v>
      </c>
      <c r="N66" s="12">
        <f t="shared" si="21"/>
        <v>0.87901510912143244</v>
      </c>
      <c r="O66" s="12">
        <f t="shared" si="21"/>
        <v>0.95226636821488531</v>
      </c>
      <c r="P66" s="12">
        <f t="shared" si="21"/>
        <v>0.95226636821488531</v>
      </c>
      <c r="Q66" s="12">
        <f t="shared" si="21"/>
        <v>0.65926133184107449</v>
      </c>
      <c r="S66" s="12">
        <f t="shared" ref="S66:S67" si="22">SUM(C66:R66)</f>
        <v>9.2296586457750411</v>
      </c>
    </row>
    <row r="67" spans="2:20" x14ac:dyDescent="0.25">
      <c r="B67" s="17" t="s">
        <v>2</v>
      </c>
      <c r="C67" s="12">
        <f>C47*$H$29</f>
        <v>0.87901510912143255</v>
      </c>
      <c r="D67" s="12">
        <f t="shared" ref="D67:Q67" si="23">D47*$H$29</f>
        <v>0.95226636821488531</v>
      </c>
      <c r="E67" s="12">
        <f t="shared" si="23"/>
        <v>0.95226636821488531</v>
      </c>
      <c r="F67" s="12">
        <f t="shared" si="23"/>
        <v>0.65926133184107438</v>
      </c>
      <c r="G67" s="12">
        <f t="shared" si="23"/>
        <v>0.8057638500279799</v>
      </c>
      <c r="H67" s="12">
        <f t="shared" si="23"/>
        <v>0.65926133184107438</v>
      </c>
      <c r="I67" s="12">
        <f t="shared" si="23"/>
        <v>0.84971460548405142</v>
      </c>
      <c r="J67" s="12">
        <f t="shared" si="23"/>
        <v>0.87901510912143255</v>
      </c>
      <c r="K67" s="12">
        <f t="shared" si="23"/>
        <v>0.65926133184107438</v>
      </c>
      <c r="L67" s="12">
        <f t="shared" si="23"/>
        <v>0.87901510912143255</v>
      </c>
      <c r="M67" s="12">
        <f t="shared" si="23"/>
        <v>0.95226636821488531</v>
      </c>
      <c r="N67" s="12">
        <f t="shared" si="23"/>
        <v>0.84971460548405142</v>
      </c>
      <c r="O67" s="12">
        <f t="shared" si="23"/>
        <v>0.95226636821488531</v>
      </c>
      <c r="P67" s="12">
        <f t="shared" si="23"/>
        <v>0.65926133184107438</v>
      </c>
      <c r="Q67" s="12">
        <f t="shared" si="23"/>
        <v>0.84971460548405142</v>
      </c>
      <c r="S67" s="12">
        <f t="shared" si="22"/>
        <v>12.438063794068272</v>
      </c>
    </row>
    <row r="68" spans="2:20" ht="18.75" x14ac:dyDescent="0.3">
      <c r="Q68" s="13" t="s">
        <v>28</v>
      </c>
      <c r="S68" s="12">
        <f>SUM(S65:S67)</f>
        <v>26.18</v>
      </c>
      <c r="T68" t="s">
        <v>17</v>
      </c>
    </row>
    <row r="69" spans="2:20" ht="18.75" x14ac:dyDescent="0.3">
      <c r="B69" s="2" t="s">
        <v>26</v>
      </c>
      <c r="C69" s="7"/>
    </row>
    <row r="71" spans="2:20" ht="50.25" customHeight="1" x14ac:dyDescent="0.25">
      <c r="C71" s="18" t="s">
        <v>51</v>
      </c>
      <c r="D71" s="18" t="s">
        <v>27</v>
      </c>
      <c r="E71" s="18" t="s">
        <v>16</v>
      </c>
      <c r="G71" s="18" t="s">
        <v>30</v>
      </c>
    </row>
    <row r="72" spans="2:20" x14ac:dyDescent="0.25">
      <c r="B72" s="17" t="s">
        <v>0</v>
      </c>
      <c r="C72" s="8">
        <f>S58</f>
        <v>3.2730386121992154</v>
      </c>
      <c r="D72" s="8">
        <f>H27</f>
        <v>4.5122775601566865</v>
      </c>
      <c r="E72" s="21">
        <f>C72+D72</f>
        <v>7.7853161723559019</v>
      </c>
      <c r="G72" s="12">
        <f>S51</f>
        <v>18.929504196978176</v>
      </c>
    </row>
    <row r="73" spans="2:20" x14ac:dyDescent="0.25">
      <c r="B73" s="17" t="s">
        <v>1</v>
      </c>
      <c r="C73" s="8">
        <f>S59</f>
        <v>6.6948517067711242</v>
      </c>
      <c r="D73" s="8">
        <f>H28</f>
        <v>9.2296586457750429</v>
      </c>
      <c r="E73" s="21">
        <f t="shared" ref="E73:E74" si="24">C73+D73</f>
        <v>15.924510352546168</v>
      </c>
      <c r="G73" s="12">
        <f>S52</f>
        <v>38.719440402909903</v>
      </c>
    </row>
    <row r="74" spans="2:20" x14ac:dyDescent="0.25">
      <c r="B74" s="17" t="s">
        <v>2</v>
      </c>
      <c r="C74" s="8">
        <f>S60</f>
        <v>9.0221096810296579</v>
      </c>
      <c r="D74" s="8">
        <f>H29</f>
        <v>12.43806379406827</v>
      </c>
      <c r="E74" s="21">
        <f t="shared" si="24"/>
        <v>21.460173475097928</v>
      </c>
      <c r="G74" s="12">
        <f>S53</f>
        <v>52.17905540011192</v>
      </c>
    </row>
    <row r="75" spans="2:20" x14ac:dyDescent="0.25">
      <c r="C75" s="21">
        <f>SUM(C72:C74)</f>
        <v>18.989999999999998</v>
      </c>
      <c r="D75" s="21">
        <f t="shared" ref="D75:E75" si="25">SUM(D72:D74)</f>
        <v>26.18</v>
      </c>
      <c r="E75" s="21">
        <f t="shared" si="25"/>
        <v>45.17</v>
      </c>
      <c r="G75" s="21">
        <f>SUM(G72:G74)</f>
        <v>109.828</v>
      </c>
    </row>
    <row r="76" spans="2:20" ht="9.75" customHeight="1" x14ac:dyDescent="0.25"/>
    <row r="77" spans="2:20" x14ac:dyDescent="0.25">
      <c r="D77" s="4" t="s">
        <v>16</v>
      </c>
      <c r="E77" s="27">
        <f>SUM(E72:E74)</f>
        <v>45.17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1FC5-8D9C-435A-B531-717787402E18}">
  <dimension ref="A2:T70"/>
  <sheetViews>
    <sheetView tabSelected="1" zoomScale="85" zoomScaleNormal="85" workbookViewId="0">
      <selection activeCell="N28" sqref="N28"/>
    </sheetView>
  </sheetViews>
  <sheetFormatPr baseColWidth="10" defaultRowHeight="15" x14ac:dyDescent="0.25"/>
  <cols>
    <col min="1" max="1" width="16" customWidth="1"/>
    <col min="2" max="2" width="17.5703125" customWidth="1"/>
    <col min="3" max="3" width="10" customWidth="1"/>
    <col min="4" max="4" width="11.28515625" customWidth="1"/>
    <col min="5" max="17" width="10" customWidth="1"/>
    <col min="18" max="18" width="3" customWidth="1"/>
    <col min="19" max="19" width="18.42578125" customWidth="1"/>
  </cols>
  <sheetData>
    <row r="2" spans="1:10" ht="21" x14ac:dyDescent="0.35">
      <c r="B2" s="31" t="s">
        <v>60</v>
      </c>
    </row>
    <row r="3" spans="1:10" ht="21" x14ac:dyDescent="0.35">
      <c r="B3" s="31" t="s">
        <v>63</v>
      </c>
    </row>
    <row r="5" spans="1:10" ht="15.75" x14ac:dyDescent="0.25">
      <c r="A5" s="33" t="s">
        <v>65</v>
      </c>
    </row>
    <row r="6" spans="1:10" x14ac:dyDescent="0.25">
      <c r="B6" s="25" t="s">
        <v>56</v>
      </c>
      <c r="C6" s="1" t="s">
        <v>57</v>
      </c>
    </row>
    <row r="7" spans="1:10" ht="34.5" customHeight="1" x14ac:dyDescent="0.3">
      <c r="B7" s="2"/>
      <c r="G7" s="18" t="s">
        <v>12</v>
      </c>
      <c r="H7" s="18" t="s">
        <v>18</v>
      </c>
    </row>
    <row r="8" spans="1:10" x14ac:dyDescent="0.25">
      <c r="C8" s="16" t="s">
        <v>3</v>
      </c>
      <c r="D8" s="5"/>
      <c r="E8" s="5"/>
      <c r="F8" s="5"/>
      <c r="G8" s="8">
        <v>20.05</v>
      </c>
      <c r="H8" s="5"/>
    </row>
    <row r="9" spans="1:10" x14ac:dyDescent="0.25">
      <c r="C9" s="16" t="s">
        <v>4</v>
      </c>
      <c r="D9" s="5"/>
      <c r="E9" s="5"/>
      <c r="F9" s="5"/>
      <c r="G9" s="5"/>
      <c r="H9" s="8">
        <v>18.989999999999998</v>
      </c>
    </row>
    <row r="10" spans="1:10" x14ac:dyDescent="0.25">
      <c r="C10" s="16" t="s">
        <v>5</v>
      </c>
      <c r="D10" s="5"/>
      <c r="E10" s="5"/>
      <c r="F10" s="5"/>
      <c r="G10" s="8">
        <v>-4.75</v>
      </c>
      <c r="H10" s="5"/>
    </row>
    <row r="11" spans="1:10" x14ac:dyDescent="0.25">
      <c r="C11" s="16" t="s">
        <v>6</v>
      </c>
      <c r="D11" s="5"/>
      <c r="E11" s="5"/>
      <c r="F11" s="5"/>
      <c r="G11" s="8">
        <v>1.27</v>
      </c>
      <c r="H11" s="5"/>
    </row>
    <row r="12" spans="1:10" x14ac:dyDescent="0.25">
      <c r="C12" s="16" t="s">
        <v>7</v>
      </c>
      <c r="D12" s="5"/>
      <c r="E12" s="5"/>
      <c r="F12" s="5"/>
      <c r="G12" s="8">
        <v>9.61</v>
      </c>
      <c r="H12" s="5"/>
    </row>
    <row r="13" spans="1:10" x14ac:dyDescent="0.25">
      <c r="F13" s="4" t="s">
        <v>8</v>
      </c>
      <c r="G13" s="8">
        <f>SUM(G8:G12)</f>
        <v>26.18</v>
      </c>
      <c r="H13" s="8">
        <f>SUM(H8:H12)</f>
        <v>18.989999999999998</v>
      </c>
      <c r="I13" s="15" t="s">
        <v>19</v>
      </c>
      <c r="J13" s="26">
        <f>G13+H13</f>
        <v>45.17</v>
      </c>
    </row>
    <row r="15" spans="1:10" x14ac:dyDescent="0.25">
      <c r="C15" s="16" t="s">
        <v>9</v>
      </c>
      <c r="D15" s="23"/>
      <c r="G15" s="24">
        <v>109.828</v>
      </c>
      <c r="H15" s="6" t="s">
        <v>17</v>
      </c>
    </row>
    <row r="17" spans="2:19" x14ac:dyDescent="0.25">
      <c r="B17" s="25" t="s">
        <v>56</v>
      </c>
      <c r="C17" s="1" t="s">
        <v>59</v>
      </c>
    </row>
    <row r="18" spans="2:19" x14ac:dyDescent="0.25">
      <c r="B18" s="25"/>
      <c r="C18" s="1" t="s">
        <v>63</v>
      </c>
    </row>
    <row r="19" spans="2:19" x14ac:dyDescent="0.25">
      <c r="B19" s="17" t="s">
        <v>11</v>
      </c>
      <c r="C19" s="28" t="s">
        <v>31</v>
      </c>
      <c r="D19" s="28" t="s">
        <v>32</v>
      </c>
      <c r="E19" s="28" t="s">
        <v>33</v>
      </c>
      <c r="F19" s="28" t="s">
        <v>34</v>
      </c>
      <c r="G19" s="28" t="s">
        <v>35</v>
      </c>
      <c r="H19" s="28" t="s">
        <v>36</v>
      </c>
      <c r="I19" s="28" t="s">
        <v>37</v>
      </c>
      <c r="J19" s="28" t="s">
        <v>38</v>
      </c>
      <c r="K19" s="28" t="s">
        <v>39</v>
      </c>
      <c r="L19" s="28" t="s">
        <v>40</v>
      </c>
      <c r="M19" s="28" t="s">
        <v>41</v>
      </c>
      <c r="N19" s="28" t="s">
        <v>42</v>
      </c>
      <c r="O19" s="28" t="s">
        <v>43</v>
      </c>
      <c r="P19" s="28" t="s">
        <v>44</v>
      </c>
      <c r="Q19" s="28" t="s">
        <v>45</v>
      </c>
      <c r="S19" s="1" t="s">
        <v>10</v>
      </c>
    </row>
    <row r="20" spans="2:19" x14ac:dyDescent="0.25">
      <c r="B20" s="17" t="s">
        <v>0</v>
      </c>
      <c r="C20" s="5"/>
      <c r="D20" s="5"/>
      <c r="E20" s="5"/>
      <c r="F20" s="5"/>
      <c r="G20" s="5"/>
      <c r="H20" s="5"/>
      <c r="I20" s="5"/>
      <c r="J20" s="5"/>
      <c r="K20" s="5">
        <f>($G$15/15)/K$23</f>
        <v>2.4406222222222222</v>
      </c>
      <c r="L20" s="5">
        <f>($G$15/15)/L$23</f>
        <v>2.4406222222222222</v>
      </c>
      <c r="M20" s="5">
        <f>($G$15/15)/M$23</f>
        <v>2.4406222222222222</v>
      </c>
      <c r="N20" s="5">
        <f>($G$15/15)/N$23</f>
        <v>2.4406222222222222</v>
      </c>
      <c r="O20" s="5">
        <f>($G$15/15)/O$23</f>
        <v>2.4406222222222222</v>
      </c>
      <c r="P20" s="5">
        <f>($G$15/15)/P$23</f>
        <v>2.4406222222222222</v>
      </c>
      <c r="Q20" s="5">
        <f>($G$15/15)/Q$23</f>
        <v>2.4406222222222222</v>
      </c>
      <c r="S20" s="9">
        <f>SUM(C20:R20)</f>
        <v>17.084355555555554</v>
      </c>
    </row>
    <row r="21" spans="2:19" x14ac:dyDescent="0.25">
      <c r="B21" s="17" t="s">
        <v>1</v>
      </c>
      <c r="C21" s="5"/>
      <c r="D21" s="5"/>
      <c r="E21" s="5"/>
      <c r="F21" s="5"/>
      <c r="G21" s="5">
        <f>($G$15/15)/G$23</f>
        <v>3.6609333333333334</v>
      </c>
      <c r="H21" s="5">
        <f>($G$15/15)/H$23</f>
        <v>3.6609333333333334</v>
      </c>
      <c r="I21" s="5">
        <f>($G$15/15)/I$23</f>
        <v>3.6609333333333334</v>
      </c>
      <c r="J21" s="5">
        <f>($G$15/15)/J$23</f>
        <v>3.6609333333333334</v>
      </c>
      <c r="K21" s="5">
        <f>($G$15/15)/K$23</f>
        <v>2.4406222222222222</v>
      </c>
      <c r="L21" s="5">
        <f>($G$15/15)/L$23</f>
        <v>2.4406222222222222</v>
      </c>
      <c r="M21" s="5">
        <f>($G$15/15)/M$23</f>
        <v>2.4406222222222222</v>
      </c>
      <c r="N21" s="5">
        <f>($G$15/15)/N$23</f>
        <v>2.4406222222222222</v>
      </c>
      <c r="O21" s="5">
        <f>($G$15/15)/O$23</f>
        <v>2.4406222222222222</v>
      </c>
      <c r="P21" s="5">
        <f>($G$15/15)/P$23</f>
        <v>2.4406222222222222</v>
      </c>
      <c r="Q21" s="5">
        <f>($G$15/15)/Q$23</f>
        <v>2.4406222222222222</v>
      </c>
      <c r="S21" s="9">
        <f t="shared" ref="S21:S22" si="0">SUM(C21:R21)</f>
        <v>31.728088888888898</v>
      </c>
    </row>
    <row r="22" spans="2:19" x14ac:dyDescent="0.25">
      <c r="B22" s="17" t="s">
        <v>2</v>
      </c>
      <c r="C22" s="5">
        <f>($G$15/15)/C$23</f>
        <v>7.3218666666666667</v>
      </c>
      <c r="D22" s="5">
        <f>($G$15/15)/D$23</f>
        <v>7.3218666666666667</v>
      </c>
      <c r="E22" s="5">
        <f>($G$15/15)/E$23</f>
        <v>7.3218666666666667</v>
      </c>
      <c r="F22" s="5">
        <f>($G$15/15)/F$23</f>
        <v>7.3218666666666667</v>
      </c>
      <c r="G22" s="5">
        <f>($G$15/15)/G$23</f>
        <v>3.6609333333333334</v>
      </c>
      <c r="H22" s="5">
        <f>($G$15/15)/H$23</f>
        <v>3.6609333333333334</v>
      </c>
      <c r="I22" s="5">
        <f>($G$15/15)/I$23</f>
        <v>3.6609333333333334</v>
      </c>
      <c r="J22" s="5">
        <f>($G$15/15)/J$23</f>
        <v>3.6609333333333334</v>
      </c>
      <c r="K22" s="5">
        <f>($G$15/15)/K$23</f>
        <v>2.4406222222222222</v>
      </c>
      <c r="L22" s="5">
        <f>($G$15/15)/L$23</f>
        <v>2.4406222222222222</v>
      </c>
      <c r="M22" s="5">
        <f>($G$15/15)/M$23</f>
        <v>2.4406222222222222</v>
      </c>
      <c r="N22" s="5">
        <f>($G$15/15)/N$23</f>
        <v>2.4406222222222222</v>
      </c>
      <c r="O22" s="5">
        <f>($G$15/15)/O$23</f>
        <v>2.4406222222222222</v>
      </c>
      <c r="P22" s="5">
        <f>($G$15/15)/P$23</f>
        <v>2.4406222222222222</v>
      </c>
      <c r="Q22" s="5">
        <f>($G$15/15)/Q$23</f>
        <v>2.4406222222222222</v>
      </c>
      <c r="S22" s="9">
        <f t="shared" si="0"/>
        <v>61.015555555555565</v>
      </c>
    </row>
    <row r="23" spans="2:19" x14ac:dyDescent="0.25">
      <c r="B23" s="29" t="s">
        <v>58</v>
      </c>
      <c r="C23" s="30">
        <v>1</v>
      </c>
      <c r="D23" s="30">
        <v>1</v>
      </c>
      <c r="E23" s="30">
        <v>1</v>
      </c>
      <c r="F23" s="30">
        <v>1</v>
      </c>
      <c r="G23" s="30">
        <v>2</v>
      </c>
      <c r="H23" s="30">
        <v>2</v>
      </c>
      <c r="I23" s="30">
        <v>2</v>
      </c>
      <c r="J23" s="30">
        <v>2</v>
      </c>
      <c r="K23" s="30">
        <v>3</v>
      </c>
      <c r="L23" s="30">
        <v>3</v>
      </c>
      <c r="M23" s="30">
        <v>3</v>
      </c>
      <c r="N23" s="30">
        <v>3</v>
      </c>
      <c r="O23" s="30">
        <v>3</v>
      </c>
      <c r="P23" s="30">
        <v>3</v>
      </c>
      <c r="Q23" s="30">
        <v>3</v>
      </c>
      <c r="S23" s="24">
        <f>SUM(S20:S22)</f>
        <v>109.82800000000002</v>
      </c>
    </row>
    <row r="25" spans="2:19" ht="18.75" x14ac:dyDescent="0.3">
      <c r="B25" s="2" t="s">
        <v>61</v>
      </c>
    </row>
    <row r="27" spans="2:19" ht="78.75" customHeight="1" x14ac:dyDescent="0.25">
      <c r="C27" s="19" t="s">
        <v>13</v>
      </c>
      <c r="D27" s="20" t="s">
        <v>14</v>
      </c>
      <c r="E27" s="20" t="s">
        <v>24</v>
      </c>
      <c r="F27" s="20" t="s">
        <v>15</v>
      </c>
      <c r="G27" s="20" t="s">
        <v>20</v>
      </c>
      <c r="H27" s="20" t="s">
        <v>21</v>
      </c>
      <c r="I27" s="20" t="s">
        <v>22</v>
      </c>
    </row>
    <row r="28" spans="2:19" x14ac:dyDescent="0.25">
      <c r="C28" s="17" t="s">
        <v>0</v>
      </c>
      <c r="D28" s="5">
        <f>S20</f>
        <v>17.084355555555554</v>
      </c>
      <c r="E28" s="5">
        <f>(D28)/$D$31</f>
        <v>0.15555555555555553</v>
      </c>
      <c r="F28" s="5">
        <f>$G$15*E28</f>
        <v>17.084355555555554</v>
      </c>
      <c r="G28" s="8">
        <f>$H$13*E28</f>
        <v>2.9539999999999993</v>
      </c>
      <c r="H28" s="8">
        <f>$G$13*E28</f>
        <v>4.0724444444444439</v>
      </c>
      <c r="I28" s="8">
        <f>G28+H28</f>
        <v>7.0264444444444436</v>
      </c>
    </row>
    <row r="29" spans="2:19" x14ac:dyDescent="0.25">
      <c r="C29" s="17" t="s">
        <v>1</v>
      </c>
      <c r="D29" s="5">
        <f>S21</f>
        <v>31.728088888888898</v>
      </c>
      <c r="E29" s="5">
        <f t="shared" ref="E29:E30" si="1">(D29)/$D$31</f>
        <v>0.28888888888888892</v>
      </c>
      <c r="F29" s="5">
        <f t="shared" ref="F29:F30" si="2">$G$15*E29</f>
        <v>31.728088888888895</v>
      </c>
      <c r="G29" s="8">
        <f t="shared" ref="G29:G30" si="3">$H$13*E29</f>
        <v>5.4859999999999998</v>
      </c>
      <c r="H29" s="8">
        <f t="shared" ref="H29:H30" si="4">$G$13*E29</f>
        <v>7.5631111111111116</v>
      </c>
      <c r="I29" s="8">
        <f t="shared" ref="I29:I30" si="5">G29+H29</f>
        <v>13.049111111111111</v>
      </c>
    </row>
    <row r="30" spans="2:19" x14ac:dyDescent="0.25">
      <c r="C30" s="17" t="s">
        <v>2</v>
      </c>
      <c r="D30" s="5">
        <f>S22</f>
        <v>61.015555555555565</v>
      </c>
      <c r="E30" s="5">
        <f t="shared" si="1"/>
        <v>0.55555555555555558</v>
      </c>
      <c r="F30" s="5">
        <f t="shared" si="2"/>
        <v>61.015555555555558</v>
      </c>
      <c r="G30" s="8">
        <f t="shared" si="3"/>
        <v>10.549999999999999</v>
      </c>
      <c r="H30" s="8">
        <f t="shared" si="4"/>
        <v>14.544444444444444</v>
      </c>
      <c r="I30" s="8">
        <f t="shared" si="5"/>
        <v>25.094444444444441</v>
      </c>
    </row>
    <row r="31" spans="2:19" x14ac:dyDescent="0.25">
      <c r="C31" s="4" t="s">
        <v>16</v>
      </c>
      <c r="D31" s="5">
        <f t="shared" ref="D31:I31" si="6">SUM(D28:D30)</f>
        <v>109.82800000000002</v>
      </c>
      <c r="E31" s="5">
        <f t="shared" si="6"/>
        <v>1</v>
      </c>
      <c r="F31" s="5">
        <f t="shared" si="6"/>
        <v>109.828</v>
      </c>
      <c r="G31" s="5">
        <f t="shared" si="6"/>
        <v>18.989999999999998</v>
      </c>
      <c r="H31" s="5">
        <f t="shared" si="6"/>
        <v>26.18</v>
      </c>
      <c r="I31" s="5">
        <f t="shared" si="6"/>
        <v>45.169999999999995</v>
      </c>
    </row>
    <row r="34" spans="2:20" ht="18.75" x14ac:dyDescent="0.3">
      <c r="B34" s="2" t="s">
        <v>50</v>
      </c>
    </row>
    <row r="36" spans="2:20" x14ac:dyDescent="0.25">
      <c r="C36" s="14" t="s">
        <v>25</v>
      </c>
      <c r="S36" s="3"/>
    </row>
    <row r="37" spans="2:20" x14ac:dyDescent="0.25">
      <c r="B37" s="17" t="s">
        <v>11</v>
      </c>
      <c r="C37" s="16" t="s">
        <v>31</v>
      </c>
      <c r="D37" s="16" t="s">
        <v>32</v>
      </c>
      <c r="E37" s="16" t="s">
        <v>33</v>
      </c>
      <c r="F37" s="16" t="s">
        <v>34</v>
      </c>
      <c r="G37" s="16" t="s">
        <v>35</v>
      </c>
      <c r="H37" s="16" t="s">
        <v>36</v>
      </c>
      <c r="I37" s="16" t="s">
        <v>37</v>
      </c>
      <c r="J37" s="16" t="s">
        <v>38</v>
      </c>
      <c r="K37" s="16" t="s">
        <v>39</v>
      </c>
      <c r="L37" s="16" t="s">
        <v>40</v>
      </c>
      <c r="M37" s="16" t="s">
        <v>41</v>
      </c>
      <c r="N37" s="16" t="s">
        <v>42</v>
      </c>
      <c r="O37" s="16" t="s">
        <v>43</v>
      </c>
      <c r="P37" s="16" t="s">
        <v>44</v>
      </c>
      <c r="Q37" s="16" t="s">
        <v>45</v>
      </c>
      <c r="S37" s="22" t="s">
        <v>46</v>
      </c>
    </row>
    <row r="38" spans="2:20" x14ac:dyDescent="0.25">
      <c r="B38" s="17" t="s">
        <v>0</v>
      </c>
      <c r="C38" s="5">
        <f>C20/$S$20</f>
        <v>0</v>
      </c>
      <c r="D38" s="5">
        <f t="shared" ref="D38:Q38" si="7">D20/$S$20</f>
        <v>0</v>
      </c>
      <c r="E38" s="5">
        <f t="shared" si="7"/>
        <v>0</v>
      </c>
      <c r="F38" s="5">
        <f t="shared" si="7"/>
        <v>0</v>
      </c>
      <c r="G38" s="5">
        <f t="shared" si="7"/>
        <v>0</v>
      </c>
      <c r="H38" s="5">
        <f t="shared" si="7"/>
        <v>0</v>
      </c>
      <c r="I38" s="5">
        <f t="shared" si="7"/>
        <v>0</v>
      </c>
      <c r="J38" s="5">
        <f t="shared" si="7"/>
        <v>0</v>
      </c>
      <c r="K38" s="5">
        <f t="shared" si="7"/>
        <v>0.14285714285714288</v>
      </c>
      <c r="L38" s="5">
        <f t="shared" si="7"/>
        <v>0.14285714285714288</v>
      </c>
      <c r="M38" s="5">
        <f t="shared" si="7"/>
        <v>0.14285714285714288</v>
      </c>
      <c r="N38" s="5">
        <f t="shared" si="7"/>
        <v>0.14285714285714288</v>
      </c>
      <c r="O38" s="5">
        <f t="shared" si="7"/>
        <v>0.14285714285714288</v>
      </c>
      <c r="P38" s="5">
        <f t="shared" si="7"/>
        <v>0.14285714285714288</v>
      </c>
      <c r="Q38" s="5">
        <f t="shared" si="7"/>
        <v>0.14285714285714288</v>
      </c>
      <c r="S38" s="9">
        <f>SUM(C38:R38)</f>
        <v>1.0000000000000002</v>
      </c>
    </row>
    <row r="39" spans="2:20" x14ac:dyDescent="0.25">
      <c r="B39" s="17" t="s">
        <v>1</v>
      </c>
      <c r="C39" s="5">
        <f>C21/$S$20</f>
        <v>0</v>
      </c>
      <c r="D39" s="5">
        <f>D21/$S$20</f>
        <v>0</v>
      </c>
      <c r="E39" s="5">
        <f>E21/$S$20</f>
        <v>0</v>
      </c>
      <c r="F39" s="5">
        <f>F21/$S$20</f>
        <v>0</v>
      </c>
      <c r="G39" s="5">
        <f>G21/$S$21</f>
        <v>0.11538461538461535</v>
      </c>
      <c r="H39" s="5">
        <f t="shared" ref="H39:Q39" si="8">H21/$S$21</f>
        <v>0.11538461538461535</v>
      </c>
      <c r="I39" s="5">
        <f t="shared" si="8"/>
        <v>0.11538461538461535</v>
      </c>
      <c r="J39" s="5">
        <f t="shared" si="8"/>
        <v>0.11538461538461535</v>
      </c>
      <c r="K39" s="5">
        <f t="shared" si="8"/>
        <v>7.69230769230769E-2</v>
      </c>
      <c r="L39" s="5">
        <f t="shared" si="8"/>
        <v>7.69230769230769E-2</v>
      </c>
      <c r="M39" s="5">
        <f t="shared" si="8"/>
        <v>7.69230769230769E-2</v>
      </c>
      <c r="N39" s="5">
        <f t="shared" si="8"/>
        <v>7.69230769230769E-2</v>
      </c>
      <c r="O39" s="5">
        <f t="shared" si="8"/>
        <v>7.69230769230769E-2</v>
      </c>
      <c r="P39" s="5">
        <f t="shared" si="8"/>
        <v>7.69230769230769E-2</v>
      </c>
      <c r="Q39" s="5">
        <f t="shared" si="8"/>
        <v>7.69230769230769E-2</v>
      </c>
      <c r="S39" s="9">
        <f t="shared" ref="S39:S40" si="9">SUM(C39:R39)</f>
        <v>0.99999999999999956</v>
      </c>
    </row>
    <row r="40" spans="2:20" x14ac:dyDescent="0.25">
      <c r="B40" s="17" t="s">
        <v>2</v>
      </c>
      <c r="C40" s="5">
        <f>C22/$S$22</f>
        <v>0.11999999999999998</v>
      </c>
      <c r="D40" s="5">
        <f t="shared" ref="D40:Q40" si="10">D22/$S$22</f>
        <v>0.11999999999999998</v>
      </c>
      <c r="E40" s="5">
        <f t="shared" si="10"/>
        <v>0.11999999999999998</v>
      </c>
      <c r="F40" s="5">
        <f t="shared" si="10"/>
        <v>0.11999999999999998</v>
      </c>
      <c r="G40" s="5">
        <f t="shared" si="10"/>
        <v>5.9999999999999991E-2</v>
      </c>
      <c r="H40" s="5">
        <f t="shared" si="10"/>
        <v>5.9999999999999991E-2</v>
      </c>
      <c r="I40" s="5">
        <f t="shared" si="10"/>
        <v>5.9999999999999991E-2</v>
      </c>
      <c r="J40" s="5">
        <f t="shared" si="10"/>
        <v>5.9999999999999991E-2</v>
      </c>
      <c r="K40" s="5">
        <f t="shared" si="10"/>
        <v>3.9999999999999994E-2</v>
      </c>
      <c r="L40" s="5">
        <f t="shared" si="10"/>
        <v>3.9999999999999994E-2</v>
      </c>
      <c r="M40" s="5">
        <f t="shared" si="10"/>
        <v>3.9999999999999994E-2</v>
      </c>
      <c r="N40" s="5">
        <f t="shared" si="10"/>
        <v>3.9999999999999994E-2</v>
      </c>
      <c r="O40" s="5">
        <f t="shared" si="10"/>
        <v>3.9999999999999994E-2</v>
      </c>
      <c r="P40" s="5">
        <f t="shared" si="10"/>
        <v>3.9999999999999994E-2</v>
      </c>
      <c r="Q40" s="5">
        <f t="shared" si="10"/>
        <v>3.9999999999999994E-2</v>
      </c>
      <c r="S40" s="9">
        <f t="shared" si="9"/>
        <v>1</v>
      </c>
    </row>
    <row r="41" spans="2:20" x14ac:dyDescent="0.25">
      <c r="S41" s="3"/>
    </row>
    <row r="42" spans="2:20" x14ac:dyDescent="0.25">
      <c r="B42" s="25" t="s">
        <v>55</v>
      </c>
      <c r="C42" s="14" t="s">
        <v>53</v>
      </c>
      <c r="S42" s="3"/>
    </row>
    <row r="43" spans="2:20" x14ac:dyDescent="0.25">
      <c r="B43" s="17" t="s">
        <v>11</v>
      </c>
      <c r="C43" s="16" t="s">
        <v>31</v>
      </c>
      <c r="D43" s="16" t="s">
        <v>32</v>
      </c>
      <c r="E43" s="16" t="s">
        <v>33</v>
      </c>
      <c r="F43" s="16" t="s">
        <v>34</v>
      </c>
      <c r="G43" s="16" t="s">
        <v>35</v>
      </c>
      <c r="H43" s="16" t="s">
        <v>36</v>
      </c>
      <c r="I43" s="16" t="s">
        <v>37</v>
      </c>
      <c r="J43" s="16" t="s">
        <v>38</v>
      </c>
      <c r="K43" s="16" t="s">
        <v>39</v>
      </c>
      <c r="L43" s="16" t="s">
        <v>40</v>
      </c>
      <c r="M43" s="16" t="s">
        <v>41</v>
      </c>
      <c r="N43" s="16" t="s">
        <v>42</v>
      </c>
      <c r="O43" s="16" t="s">
        <v>43</v>
      </c>
      <c r="P43" s="16" t="s">
        <v>44</v>
      </c>
      <c r="Q43" s="16" t="s">
        <v>45</v>
      </c>
      <c r="S43" s="22" t="s">
        <v>48</v>
      </c>
    </row>
    <row r="44" spans="2:20" x14ac:dyDescent="0.25">
      <c r="B44" s="17" t="s">
        <v>0</v>
      </c>
      <c r="C44" s="12">
        <f>C38*$F$28</f>
        <v>0</v>
      </c>
      <c r="D44" s="12">
        <f>D38*$F$28</f>
        <v>0</v>
      </c>
      <c r="E44" s="12">
        <f>E38*$F$28</f>
        <v>0</v>
      </c>
      <c r="F44" s="12">
        <f>F38*$F$28</f>
        <v>0</v>
      </c>
      <c r="G44" s="12">
        <f>G38*$F$28</f>
        <v>0</v>
      </c>
      <c r="H44" s="12">
        <f>H38*$F$28</f>
        <v>0</v>
      </c>
      <c r="I44" s="12">
        <f>I38*$F$28</f>
        <v>0</v>
      </c>
      <c r="J44" s="12">
        <f>J38*$F$28</f>
        <v>0</v>
      </c>
      <c r="K44" s="12">
        <f>K38*$F$28</f>
        <v>2.4406222222222222</v>
      </c>
      <c r="L44" s="12">
        <f>L38*$F$28</f>
        <v>2.4406222222222222</v>
      </c>
      <c r="M44" s="12">
        <f>M38*$F$28</f>
        <v>2.4406222222222222</v>
      </c>
      <c r="N44" s="12">
        <f>N38*$F$28</f>
        <v>2.4406222222222222</v>
      </c>
      <c r="O44" s="12">
        <f>O38*$F$28</f>
        <v>2.4406222222222222</v>
      </c>
      <c r="P44" s="12">
        <f>P38*$F$28</f>
        <v>2.4406222222222222</v>
      </c>
      <c r="Q44" s="12">
        <f>Q38*$F$28</f>
        <v>2.4406222222222222</v>
      </c>
      <c r="S44" s="12">
        <f>SUM(C44:R44)</f>
        <v>17.084355555555554</v>
      </c>
    </row>
    <row r="45" spans="2:20" x14ac:dyDescent="0.25">
      <c r="B45" s="17" t="s">
        <v>1</v>
      </c>
      <c r="C45" s="12">
        <f>C39*$F$29</f>
        <v>0</v>
      </c>
      <c r="D45" s="12">
        <f>D39*$F$29</f>
        <v>0</v>
      </c>
      <c r="E45" s="12">
        <f>E39*$F$29</f>
        <v>0</v>
      </c>
      <c r="F45" s="12">
        <f>F39*$F$29</f>
        <v>0</v>
      </c>
      <c r="G45" s="12">
        <f>G39*$F$29</f>
        <v>3.6609333333333329</v>
      </c>
      <c r="H45" s="12">
        <f>H39*$F$29</f>
        <v>3.6609333333333329</v>
      </c>
      <c r="I45" s="12">
        <f>I39*$F$29</f>
        <v>3.6609333333333329</v>
      </c>
      <c r="J45" s="12">
        <f>J39*$F$29</f>
        <v>3.6609333333333329</v>
      </c>
      <c r="K45" s="12">
        <f>K39*$F$29</f>
        <v>2.4406222222222218</v>
      </c>
      <c r="L45" s="12">
        <f>L39*$F$29</f>
        <v>2.4406222222222218</v>
      </c>
      <c r="M45" s="12">
        <f>M39*$F$29</f>
        <v>2.4406222222222218</v>
      </c>
      <c r="N45" s="12">
        <f>N39*$F$29</f>
        <v>2.4406222222222218</v>
      </c>
      <c r="O45" s="12">
        <f>O39*$F$29</f>
        <v>2.4406222222222218</v>
      </c>
      <c r="P45" s="12">
        <f>P39*$F$29</f>
        <v>2.4406222222222218</v>
      </c>
      <c r="Q45" s="12">
        <f>Q39*$F$29</f>
        <v>2.4406222222222218</v>
      </c>
      <c r="S45" s="12">
        <f t="shared" ref="S45:S46" si="11">SUM(C45:R45)</f>
        <v>31.728088888888877</v>
      </c>
    </row>
    <row r="46" spans="2:20" x14ac:dyDescent="0.25">
      <c r="B46" s="17" t="s">
        <v>2</v>
      </c>
      <c r="C46" s="12">
        <f>C40*$F$30</f>
        <v>7.3218666666666659</v>
      </c>
      <c r="D46" s="12">
        <f>D40*$F$30</f>
        <v>7.3218666666666659</v>
      </c>
      <c r="E46" s="12">
        <f>E40*$F$30</f>
        <v>7.3218666666666659</v>
      </c>
      <c r="F46" s="12">
        <f>F40*$F$30</f>
        <v>7.3218666666666659</v>
      </c>
      <c r="G46" s="12">
        <f>G40*$F$30</f>
        <v>3.6609333333333329</v>
      </c>
      <c r="H46" s="12">
        <f>H40*$F$30</f>
        <v>3.6609333333333329</v>
      </c>
      <c r="I46" s="12">
        <f>I40*$F$30</f>
        <v>3.6609333333333329</v>
      </c>
      <c r="J46" s="12">
        <f>J40*$F$30</f>
        <v>3.6609333333333329</v>
      </c>
      <c r="K46" s="12">
        <f>K40*$F$30</f>
        <v>2.4406222222222218</v>
      </c>
      <c r="L46" s="12">
        <f>L40*$F$30</f>
        <v>2.4406222222222218</v>
      </c>
      <c r="M46" s="12">
        <f>M40*$F$30</f>
        <v>2.4406222222222218</v>
      </c>
      <c r="N46" s="12">
        <f>N40*$F$30</f>
        <v>2.4406222222222218</v>
      </c>
      <c r="O46" s="12">
        <f>O40*$F$30</f>
        <v>2.4406222222222218</v>
      </c>
      <c r="P46" s="12">
        <f>P40*$F$30</f>
        <v>2.4406222222222218</v>
      </c>
      <c r="Q46" s="12">
        <f>Q40*$F$30</f>
        <v>2.4406222222222218</v>
      </c>
      <c r="S46" s="12">
        <f t="shared" si="11"/>
        <v>61.015555555555565</v>
      </c>
    </row>
    <row r="47" spans="2:20" ht="18.75" x14ac:dyDescent="0.3">
      <c r="Q47" s="13" t="s">
        <v>28</v>
      </c>
      <c r="S47" s="12">
        <f>SUM(S44:S46)</f>
        <v>109.828</v>
      </c>
      <c r="T47" t="s">
        <v>17</v>
      </c>
    </row>
    <row r="48" spans="2:20" ht="18.75" x14ac:dyDescent="0.3">
      <c r="Q48" s="13"/>
      <c r="S48" s="10"/>
    </row>
    <row r="49" spans="2:20" x14ac:dyDescent="0.25">
      <c r="B49" s="25" t="s">
        <v>55</v>
      </c>
      <c r="C49" s="14" t="s">
        <v>54</v>
      </c>
      <c r="S49" s="3"/>
    </row>
    <row r="50" spans="2:20" x14ac:dyDescent="0.25">
      <c r="B50" s="17" t="s">
        <v>11</v>
      </c>
      <c r="C50" s="16" t="s">
        <v>31</v>
      </c>
      <c r="D50" s="16" t="s">
        <v>32</v>
      </c>
      <c r="E50" s="16" t="s">
        <v>33</v>
      </c>
      <c r="F50" s="16" t="s">
        <v>34</v>
      </c>
      <c r="G50" s="16" t="s">
        <v>35</v>
      </c>
      <c r="H50" s="16" t="s">
        <v>36</v>
      </c>
      <c r="I50" s="16" t="s">
        <v>37</v>
      </c>
      <c r="J50" s="16" t="s">
        <v>38</v>
      </c>
      <c r="K50" s="16" t="s">
        <v>39</v>
      </c>
      <c r="L50" s="16" t="s">
        <v>40</v>
      </c>
      <c r="M50" s="16" t="s">
        <v>41</v>
      </c>
      <c r="N50" s="16" t="s">
        <v>42</v>
      </c>
      <c r="O50" s="16" t="s">
        <v>43</v>
      </c>
      <c r="P50" s="16" t="s">
        <v>44</v>
      </c>
      <c r="Q50" s="16" t="s">
        <v>45</v>
      </c>
      <c r="S50" s="22" t="s">
        <v>47</v>
      </c>
    </row>
    <row r="51" spans="2:20" x14ac:dyDescent="0.25">
      <c r="B51" s="17" t="s">
        <v>0</v>
      </c>
      <c r="C51" s="8">
        <f>C38*$G$28</f>
        <v>0</v>
      </c>
      <c r="D51" s="8">
        <f>D38*$G$28</f>
        <v>0</v>
      </c>
      <c r="E51" s="8">
        <f>E38*$G$28</f>
        <v>0</v>
      </c>
      <c r="F51" s="8">
        <f>F38*$G$28</f>
        <v>0</v>
      </c>
      <c r="G51" s="8">
        <f>G38*$G$28</f>
        <v>0</v>
      </c>
      <c r="H51" s="8">
        <f>H38*$G$28</f>
        <v>0</v>
      </c>
      <c r="I51" s="8">
        <f>I38*$G$28</f>
        <v>0</v>
      </c>
      <c r="J51" s="8">
        <f>J38*$G$28</f>
        <v>0</v>
      </c>
      <c r="K51" s="8">
        <f>K38*$G$28</f>
        <v>0.42199999999999993</v>
      </c>
      <c r="L51" s="8">
        <f>L38*$G$28</f>
        <v>0.42199999999999993</v>
      </c>
      <c r="M51" s="8">
        <f>M38*$G$28</f>
        <v>0.42199999999999993</v>
      </c>
      <c r="N51" s="8">
        <f>N38*$G$28</f>
        <v>0.42199999999999993</v>
      </c>
      <c r="O51" s="8">
        <f>O38*$G$28</f>
        <v>0.42199999999999993</v>
      </c>
      <c r="P51" s="8">
        <f>P38*$G$28</f>
        <v>0.42199999999999993</v>
      </c>
      <c r="Q51" s="8">
        <f>Q38*$G$28</f>
        <v>0.42199999999999993</v>
      </c>
      <c r="S51" s="11">
        <f>SUM(C51:R51)</f>
        <v>2.9539999999999988</v>
      </c>
    </row>
    <row r="52" spans="2:20" x14ac:dyDescent="0.25">
      <c r="B52" s="17" t="s">
        <v>1</v>
      </c>
      <c r="C52" s="8">
        <f>C39*$G$29</f>
        <v>0</v>
      </c>
      <c r="D52" s="8">
        <f>D39*$G$29</f>
        <v>0</v>
      </c>
      <c r="E52" s="8">
        <f>E39*$G$29</f>
        <v>0</v>
      </c>
      <c r="F52" s="8">
        <f>F39*$G$29</f>
        <v>0</v>
      </c>
      <c r="G52" s="8">
        <f>G39*$G$29</f>
        <v>0.63299999999999979</v>
      </c>
      <c r="H52" s="8">
        <f>H39*$G$29</f>
        <v>0.63299999999999979</v>
      </c>
      <c r="I52" s="8">
        <f>I39*$G$29</f>
        <v>0.63299999999999979</v>
      </c>
      <c r="J52" s="8">
        <f>J39*$G$29</f>
        <v>0.63299999999999979</v>
      </c>
      <c r="K52" s="8">
        <f>K39*$G$29</f>
        <v>0.42199999999999988</v>
      </c>
      <c r="L52" s="8">
        <f>L39*$G$29</f>
        <v>0.42199999999999988</v>
      </c>
      <c r="M52" s="8">
        <f>M39*$G$29</f>
        <v>0.42199999999999988</v>
      </c>
      <c r="N52" s="8">
        <f>N39*$G$29</f>
        <v>0.42199999999999988</v>
      </c>
      <c r="O52" s="8">
        <f>O39*$G$29</f>
        <v>0.42199999999999988</v>
      </c>
      <c r="P52" s="8">
        <f>P39*$G$29</f>
        <v>0.42199999999999988</v>
      </c>
      <c r="Q52" s="8">
        <f>Q39*$G$29</f>
        <v>0.42199999999999988</v>
      </c>
      <c r="S52" s="11">
        <f t="shared" ref="S52:S53" si="12">SUM(C52:R52)</f>
        <v>5.4859999999999971</v>
      </c>
    </row>
    <row r="53" spans="2:20" x14ac:dyDescent="0.25">
      <c r="B53" s="17" t="s">
        <v>2</v>
      </c>
      <c r="C53" s="8">
        <f>C40*$G$30</f>
        <v>1.2659999999999996</v>
      </c>
      <c r="D53" s="8">
        <f>D40*$G$30</f>
        <v>1.2659999999999996</v>
      </c>
      <c r="E53" s="8">
        <f>E40*$G$30</f>
        <v>1.2659999999999996</v>
      </c>
      <c r="F53" s="8">
        <f>F40*$G$30</f>
        <v>1.2659999999999996</v>
      </c>
      <c r="G53" s="8">
        <f>G40*$G$30</f>
        <v>0.63299999999999979</v>
      </c>
      <c r="H53" s="8">
        <f>H40*$G$30</f>
        <v>0.63299999999999979</v>
      </c>
      <c r="I53" s="8">
        <f>I40*$G$30</f>
        <v>0.63299999999999979</v>
      </c>
      <c r="J53" s="8">
        <f>J40*$G$30</f>
        <v>0.63299999999999979</v>
      </c>
      <c r="K53" s="8">
        <f>K40*$G$30</f>
        <v>0.42199999999999988</v>
      </c>
      <c r="L53" s="8">
        <f>L40*$G$30</f>
        <v>0.42199999999999988</v>
      </c>
      <c r="M53" s="8">
        <f>M40*$G$30</f>
        <v>0.42199999999999988</v>
      </c>
      <c r="N53" s="8">
        <f>N40*$G$30</f>
        <v>0.42199999999999988</v>
      </c>
      <c r="O53" s="8">
        <f>O40*$G$30</f>
        <v>0.42199999999999988</v>
      </c>
      <c r="P53" s="8">
        <f>P40*$G$30</f>
        <v>0.42199999999999988</v>
      </c>
      <c r="Q53" s="8">
        <f>Q40*$G$30</f>
        <v>0.42199999999999988</v>
      </c>
      <c r="S53" s="11">
        <f t="shared" si="12"/>
        <v>10.550000000000002</v>
      </c>
    </row>
    <row r="54" spans="2:20" ht="18.75" x14ac:dyDescent="0.3">
      <c r="Q54" s="13" t="s">
        <v>29</v>
      </c>
      <c r="S54" s="21">
        <f>SUM(S51:S53)</f>
        <v>18.989999999999998</v>
      </c>
    </row>
    <row r="55" spans="2:20" x14ac:dyDescent="0.25">
      <c r="S55" s="10"/>
    </row>
    <row r="56" spans="2:20" x14ac:dyDescent="0.25">
      <c r="B56" s="25" t="s">
        <v>55</v>
      </c>
      <c r="C56" s="14" t="s">
        <v>52</v>
      </c>
      <c r="S56" s="3"/>
    </row>
    <row r="57" spans="2:20" x14ac:dyDescent="0.25">
      <c r="B57" s="17" t="s">
        <v>11</v>
      </c>
      <c r="C57" s="16" t="s">
        <v>31</v>
      </c>
      <c r="D57" s="16" t="s">
        <v>32</v>
      </c>
      <c r="E57" s="16" t="s">
        <v>33</v>
      </c>
      <c r="F57" s="16" t="s">
        <v>34</v>
      </c>
      <c r="G57" s="16" t="s">
        <v>35</v>
      </c>
      <c r="H57" s="16" t="s">
        <v>36</v>
      </c>
      <c r="I57" s="16" t="s">
        <v>37</v>
      </c>
      <c r="J57" s="16" t="s">
        <v>38</v>
      </c>
      <c r="K57" s="16" t="s">
        <v>39</v>
      </c>
      <c r="L57" s="16" t="s">
        <v>40</v>
      </c>
      <c r="M57" s="16" t="s">
        <v>41</v>
      </c>
      <c r="N57" s="16" t="s">
        <v>42</v>
      </c>
      <c r="O57" s="16" t="s">
        <v>43</v>
      </c>
      <c r="P57" s="16" t="s">
        <v>44</v>
      </c>
      <c r="Q57" s="16" t="s">
        <v>45</v>
      </c>
      <c r="S57" s="22" t="s">
        <v>48</v>
      </c>
    </row>
    <row r="58" spans="2:20" x14ac:dyDescent="0.25">
      <c r="B58" s="17" t="s">
        <v>0</v>
      </c>
      <c r="C58" s="12">
        <f>C38*$H$28</f>
        <v>0</v>
      </c>
      <c r="D58" s="12">
        <f>D38*$H$28</f>
        <v>0</v>
      </c>
      <c r="E58" s="12">
        <f>E38*$H$28</f>
        <v>0</v>
      </c>
      <c r="F58" s="12">
        <f>F38*$H$28</f>
        <v>0</v>
      </c>
      <c r="G58" s="12">
        <f>G38*$H$28</f>
        <v>0</v>
      </c>
      <c r="H58" s="12">
        <f>H38*$H$28</f>
        <v>0</v>
      </c>
      <c r="I58" s="12">
        <f>I38*$H$28</f>
        <v>0</v>
      </c>
      <c r="J58" s="12">
        <f>J38*$H$28</f>
        <v>0</v>
      </c>
      <c r="K58" s="12">
        <f>K38*$H$28</f>
        <v>0.58177777777777773</v>
      </c>
      <c r="L58" s="12">
        <f>L38*$H$28</f>
        <v>0.58177777777777773</v>
      </c>
      <c r="M58" s="12">
        <f>M38*$H$28</f>
        <v>0.58177777777777773</v>
      </c>
      <c r="N58" s="12">
        <f>N38*$H$28</f>
        <v>0.58177777777777773</v>
      </c>
      <c r="O58" s="12">
        <f>O38*$H$28</f>
        <v>0.58177777777777773</v>
      </c>
      <c r="P58" s="12">
        <f>P38*$H$28</f>
        <v>0.58177777777777773</v>
      </c>
      <c r="Q58" s="12">
        <f>Q38*$H$28</f>
        <v>0.58177777777777773</v>
      </c>
      <c r="S58" s="12">
        <f>SUM(C58:R58)</f>
        <v>4.0724444444444448</v>
      </c>
    </row>
    <row r="59" spans="2:20" x14ac:dyDescent="0.25">
      <c r="B59" s="17" t="s">
        <v>1</v>
      </c>
      <c r="C59" s="12">
        <f>C39*$H$29</f>
        <v>0</v>
      </c>
      <c r="D59" s="12">
        <f>D39*$H$29</f>
        <v>0</v>
      </c>
      <c r="E59" s="12">
        <f>E39*$H$29</f>
        <v>0</v>
      </c>
      <c r="F59" s="12">
        <f>F39*$H$29</f>
        <v>0</v>
      </c>
      <c r="G59" s="12">
        <f>G39*$H$29</f>
        <v>0.87266666666666648</v>
      </c>
      <c r="H59" s="12">
        <f>H39*$H$29</f>
        <v>0.87266666666666648</v>
      </c>
      <c r="I59" s="12">
        <f>I39*$H$29</f>
        <v>0.87266666666666648</v>
      </c>
      <c r="J59" s="12">
        <f>J39*$H$29</f>
        <v>0.87266666666666648</v>
      </c>
      <c r="K59" s="12">
        <f>K39*$H$29</f>
        <v>0.58177777777777762</v>
      </c>
      <c r="L59" s="12">
        <f>L39*$H$29</f>
        <v>0.58177777777777762</v>
      </c>
      <c r="M59" s="12">
        <f>M39*$H$29</f>
        <v>0.58177777777777762</v>
      </c>
      <c r="N59" s="12">
        <f>N39*$H$29</f>
        <v>0.58177777777777762</v>
      </c>
      <c r="O59" s="12">
        <f>O39*$H$29</f>
        <v>0.58177777777777762</v>
      </c>
      <c r="P59" s="12">
        <f>P39*$H$29</f>
        <v>0.58177777777777762</v>
      </c>
      <c r="Q59" s="12">
        <f>Q39*$H$29</f>
        <v>0.58177777777777762</v>
      </c>
      <c r="S59" s="12">
        <f t="shared" ref="S59:S60" si="13">SUM(C59:R59)</f>
        <v>7.5631111111111116</v>
      </c>
    </row>
    <row r="60" spans="2:20" x14ac:dyDescent="0.25">
      <c r="B60" s="17" t="s">
        <v>2</v>
      </c>
      <c r="C60" s="12">
        <f>C40*$H$30</f>
        <v>1.745333333333333</v>
      </c>
      <c r="D60" s="12">
        <f>D40*$H$30</f>
        <v>1.745333333333333</v>
      </c>
      <c r="E60" s="12">
        <f>E40*$H$30</f>
        <v>1.745333333333333</v>
      </c>
      <c r="F60" s="12">
        <f>F40*$H$30</f>
        <v>1.745333333333333</v>
      </c>
      <c r="G60" s="12">
        <f>G40*$H$30</f>
        <v>0.87266666666666648</v>
      </c>
      <c r="H60" s="12">
        <f>H40*$H$30</f>
        <v>0.87266666666666648</v>
      </c>
      <c r="I60" s="12">
        <f>I40*$H$30</f>
        <v>0.87266666666666648</v>
      </c>
      <c r="J60" s="12">
        <f>J40*$H$30</f>
        <v>0.87266666666666648</v>
      </c>
      <c r="K60" s="12">
        <f>K40*$H$30</f>
        <v>0.58177777777777773</v>
      </c>
      <c r="L60" s="12">
        <f>L40*$H$30</f>
        <v>0.58177777777777773</v>
      </c>
      <c r="M60" s="12">
        <f>M40*$H$30</f>
        <v>0.58177777777777773</v>
      </c>
      <c r="N60" s="12">
        <f>N40*$H$30</f>
        <v>0.58177777777777773</v>
      </c>
      <c r="O60" s="12">
        <f>O40*$H$30</f>
        <v>0.58177777777777773</v>
      </c>
      <c r="P60" s="12">
        <f>P40*$H$30</f>
        <v>0.58177777777777773</v>
      </c>
      <c r="Q60" s="12">
        <f>Q40*$H$30</f>
        <v>0.58177777777777773</v>
      </c>
      <c r="S60" s="12">
        <f t="shared" si="13"/>
        <v>14.544444444444437</v>
      </c>
    </row>
    <row r="61" spans="2:20" ht="18.75" x14ac:dyDescent="0.3">
      <c r="Q61" s="13" t="s">
        <v>28</v>
      </c>
      <c r="S61" s="12">
        <f>SUM(S58:S60)</f>
        <v>26.179999999999993</v>
      </c>
      <c r="T61" t="s">
        <v>17</v>
      </c>
    </row>
    <row r="62" spans="2:20" ht="18.75" x14ac:dyDescent="0.3">
      <c r="B62" s="2" t="s">
        <v>26</v>
      </c>
      <c r="C62" s="7"/>
    </row>
    <row r="64" spans="2:20" ht="50.25" customHeight="1" x14ac:dyDescent="0.25">
      <c r="C64" s="18" t="s">
        <v>51</v>
      </c>
      <c r="D64" s="18" t="s">
        <v>27</v>
      </c>
      <c r="E64" s="18" t="s">
        <v>16</v>
      </c>
      <c r="G64" s="18" t="s">
        <v>30</v>
      </c>
    </row>
    <row r="65" spans="2:7" x14ac:dyDescent="0.25">
      <c r="B65" s="17" t="s">
        <v>0</v>
      </c>
      <c r="C65" s="8">
        <f>S51</f>
        <v>2.9539999999999988</v>
      </c>
      <c r="D65" s="8">
        <f>H28</f>
        <v>4.0724444444444439</v>
      </c>
      <c r="E65" s="21">
        <f>C65+D65</f>
        <v>7.0264444444444427</v>
      </c>
      <c r="G65" s="12">
        <f>S44</f>
        <v>17.084355555555554</v>
      </c>
    </row>
    <row r="66" spans="2:7" x14ac:dyDescent="0.25">
      <c r="B66" s="17" t="s">
        <v>1</v>
      </c>
      <c r="C66" s="8">
        <f>S52</f>
        <v>5.4859999999999971</v>
      </c>
      <c r="D66" s="8">
        <f>H29</f>
        <v>7.5631111111111116</v>
      </c>
      <c r="E66" s="21">
        <f t="shared" ref="E66:E67" si="14">C66+D66</f>
        <v>13.04911111111111</v>
      </c>
      <c r="G66" s="12">
        <f>S45</f>
        <v>31.728088888888877</v>
      </c>
    </row>
    <row r="67" spans="2:7" x14ac:dyDescent="0.25">
      <c r="B67" s="17" t="s">
        <v>2</v>
      </c>
      <c r="C67" s="8">
        <f>S53</f>
        <v>10.550000000000002</v>
      </c>
      <c r="D67" s="8">
        <f>H30</f>
        <v>14.544444444444444</v>
      </c>
      <c r="E67" s="21">
        <f t="shared" si="14"/>
        <v>25.094444444444449</v>
      </c>
      <c r="G67" s="12">
        <f>S46</f>
        <v>61.015555555555565</v>
      </c>
    </row>
    <row r="68" spans="2:7" x14ac:dyDescent="0.25">
      <c r="C68" s="21">
        <f>SUM(C65:C67)</f>
        <v>18.989999999999998</v>
      </c>
      <c r="D68" s="21">
        <f t="shared" ref="D68:E68" si="15">SUM(D65:D67)</f>
        <v>26.18</v>
      </c>
      <c r="E68" s="21">
        <f t="shared" si="15"/>
        <v>45.17</v>
      </c>
      <c r="G68" s="21">
        <f>SUM(G65:G67)</f>
        <v>109.828</v>
      </c>
    </row>
    <row r="69" spans="2:7" ht="9.75" customHeight="1" x14ac:dyDescent="0.25"/>
    <row r="70" spans="2:7" x14ac:dyDescent="0.25">
      <c r="D70" s="4" t="s">
        <v>16</v>
      </c>
      <c r="E70" s="27">
        <f>SUM(E65:E67)</f>
        <v>45.17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Calculo Lector Estimado Días</vt:lpstr>
      <vt:lpstr>Calculo Sin Lector Estimado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Leal Mora</dc:creator>
  <cp:lastModifiedBy>Javier Leal</cp:lastModifiedBy>
  <dcterms:created xsi:type="dcterms:W3CDTF">2025-08-01T17:08:29Z</dcterms:created>
  <dcterms:modified xsi:type="dcterms:W3CDTF">2026-03-29T11:00:33Z</dcterms:modified>
</cp:coreProperties>
</file>